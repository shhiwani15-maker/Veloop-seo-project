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F4C69A3-1114-418C-8353-5F1B53F9F41F}" xr6:coauthVersionLast="47" xr6:coauthVersionMax="47" xr10:uidLastSave="{00000000-0000-0000-0000-000000000000}"/>
  <bookViews>
    <workbookView xWindow="-120" yWindow="-120" windowWidth="20730" windowHeight="11040" tabRatio="500" firstSheet="2" activeTab="3" xr2:uid="{00000000-000D-0000-FFFF-FFFF00000000}"/>
  </bookViews>
  <sheets>
    <sheet name="Dashboard" sheetId="1" r:id="rId1"/>
    <sheet name="On-Page Recs" sheetId="2" r:id="rId2"/>
    <sheet name="Feature Page Indexability" sheetId="3" r:id="rId3"/>
    <sheet name="README" sheetId="4" r:id="rId4"/>
  </sheets>
  <definedNames>
    <definedName name="_xlnm._FilterDatabase" localSheetId="2" hidden="1">'Feature Page Indexability'!$A$1:$D$1</definedName>
    <definedName name="_xlnm._FilterDatabase" localSheetId="1" hidden="1">'On-Page Recs'!$A$1:$F$1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9" i="1" l="1"/>
  <c r="G18" i="1"/>
  <c r="G17" i="1"/>
  <c r="C17" i="1"/>
  <c r="G16" i="1"/>
  <c r="C16" i="1"/>
  <c r="G15" i="1"/>
  <c r="C15" i="1"/>
  <c r="G14" i="1"/>
  <c r="C14" i="1"/>
  <c r="F7" i="1"/>
  <c r="D7" i="1"/>
  <c r="B7" i="1"/>
</calcChain>
</file>

<file path=xl/sharedStrings.xml><?xml version="1.0" encoding="utf-8"?>
<sst xmlns="http://schemas.openxmlformats.org/spreadsheetml/2006/main" count="167" uniqueCount="123">
  <si>
    <t>VELoop Rewards — On-Page SEO Recommendations</t>
  </si>
  <si>
    <t>PAGES REVIEWED</t>
  </si>
  <si>
    <t>CRITICAL FIXES</t>
  </si>
  <si>
    <t>NEW PAGES NEEDED</t>
  </si>
  <si>
    <t>Recommendations by priority</t>
  </si>
  <si>
    <t>Recommendations by page type</t>
  </si>
  <si>
    <t>Priority</t>
  </si>
  <si>
    <t>Count</t>
  </si>
  <si>
    <t>Page Type</t>
  </si>
  <si>
    <t>Critical</t>
  </si>
  <si>
    <t>Blog</t>
  </si>
  <si>
    <t>High</t>
  </si>
  <si>
    <t>Core</t>
  </si>
  <si>
    <t>Medium</t>
  </si>
  <si>
    <t>Feature</t>
  </si>
  <si>
    <t>Low</t>
  </si>
  <si>
    <t>Feature/Trust</t>
  </si>
  <si>
    <t>Trust</t>
  </si>
  <si>
    <t>Utility</t>
  </si>
  <si>
    <t>URL</t>
  </si>
  <si>
    <t>Current / Issue Observed</t>
  </si>
  <si>
    <t>SEO Opportunity</t>
  </si>
  <si>
    <t>Recommended Change</t>
  </si>
  <si>
    <t>/ (Homepage)</t>
  </si>
  <si>
    <t>Title: “Watch Ads &amp; Earn Real Cash Online – Only on VELoop Rewards”; meta description present (File 1, Section 5)  ||  Issue: Title/meta are reasonably strong, but H1/heading structure could not be confirmed — homepage appears JS-rendered with no crawlable body content (File 1, Section 4, Critical).</t>
  </si>
  <si>
    <t>Widen keyword coverage beyond “watch ads” to mention referrals + daily rewards; add a confirmed, crawlable H1.</t>
  </si>
  <si>
    <t>Add H1: “Earn Rewards With VELoop — Watch Ads, Complete Tasks &amp; Refer Friends”. Confirm rendered HTML includes full body copy for crawlers.</t>
  </si>
  <si>
    <t>/refer-and-earn</t>
  </si>
  <si>
    <t>Not confirmed to exist as a public page (File 1, Section 6).  ||  Issue: Refer &amp; Earn has no dedicated landing page despite being a Category B keyword priority (File 2) and a File 4 Critical content gap.</t>
  </si>
  <si>
    <t>Direct-match keyword page for “refer and earn rewards” with strong conversion intent.</t>
  </si>
  <si>
    <t>Build a public feature page with clear referral mechanics, FAQ block, and CTA to registration.</t>
  </si>
  <si>
    <t>/watch-ads</t>
  </si>
  <si>
    <t>Likely folded into homepage only; no standalone page confirmed.  ||  Issue: Homepage covers this feature at a high level but a dedicated page would let it rank independently for deeper long-tail queries.</t>
  </si>
  <si>
    <t>Separate landing page can target “watch ads and earn money app” and related long-tail terms without diluting the homepage.</t>
  </si>
  <si>
    <t>Create a dedicated feature page cross-linked from the homepage and the blog guide (File 5, Month 2, Week 2).</t>
  </si>
  <si>
    <t>/rewards (Games/Tasks hub)</t>
  </si>
  <si>
    <t>Not confirmed to exist.  ||  Issue: Games and Tasks are both File 4 gaps with confirmed competitor coverage (Freecash, JumpTask, Swagbucks).</t>
  </si>
  <si>
    <t>A hub page linking to Games and Tasks sub-pages improves internal linking and crawl paths.</t>
  </si>
  <si>
    <t>Build /rewards as a hub with clear links to /games and /tasks; add descriptive anchor text, not “click here”.</t>
  </si>
  <si>
    <t>/daily-rewards</t>
  </si>
  <si>
    <t>Not confirmed to exist.  ||  Issue: Daily Rewards/Daily Streak is a Category B keyword and a File 4 Medium-priority gap.</t>
  </si>
  <si>
    <t>Direct-match page for “daily reward website” and “daily login rewards”.</t>
  </si>
  <si>
    <t>Build feature page explaining the streak/bonus mechanic; link from homepage and blog guide (File 5, Month 2, Week 4).</t>
  </si>
  <si>
    <t>/how-it-works (Trust page)</t>
  </si>
  <si>
    <t>Not confirmed to exist.  ||  Issue: File 1 (Section 3) found zero trust content anywhere — the single largest SEO and conversion gap in the whole project.</t>
  </si>
  <si>
    <t>A dedicated trust page addressing legitimacy, payout terms, and platform mechanics could capture high-intent ‘is it legit’ searches directly.</t>
  </si>
  <si>
    <t>Build a trust/How It Works page; link every blog article's CTA here before the final registration CTA.</t>
  </si>
  <si>
    <t>/faq</t>
  </si>
  <si>
    <t>Not confirmed to exist as a standalone page.  ||  Issue: No FAQ page confirmed; FAQ content is one of the lowest-cost, highest-relevance content types available (brief Section 23).</t>
  </si>
  <si>
    <t>An FAQ page targeting the FAQ Keyword Bank (File 2) can win multiple small, low-competition queries at once, including the Wallet and Exchange Center questions added to that bank.</t>
  </si>
  <si>
    <t>Build an FAQ page using only the questions marked “Yes” in File 2's FAQ Keyword Bank tab; mark up with FAQ structured data once confirmed with a developer.</t>
  </si>
  <si>
    <t>/exchange-center</t>
  </si>
  <si>
    <t>Not confirmed whether public or authenticated-only.  ||  Issue: The transactional Exchange Center UI itself should stay behind login, but the mechanics of exchanging VEs/SVEs have no separate public explainer.</t>
  </si>
  <si>
    <t>Split the page: keep transactional UI private, but publish a dedicated public guide to how the Exchange Center works.</t>
  </si>
  <si>
    <t>Noindex the authenticated exchange UI; build a separate public /exchange-center-guide page (see below) covering mechanics only.</t>
  </si>
  <si>
    <t>/exchange-center-guide</t>
  </si>
  <si>
    <t>Not confirmed to exist.  ||  Issue: Exchange Center has so far only appeared as a link target inside other articles, never as its own topic with a dedicated page.</t>
  </si>
  <si>
    <t>Direct-match page for “VELoop exchange center” (File 2, Category F) — a navigational/informational query with no current target page.</t>
  </si>
  <si>
    <t>Build a public educational page explaining how VEs/SVEs move through the Exchange Center toward a withdrawal, with no account-specific data shown.</t>
  </si>
  <si>
    <t>/wallet-explained</t>
  </si>
  <si>
    <t>Not confirmed to exist.  ||  Issue: No page or keyword mapping exists for the Wallet specifically — previously only covered indirectly inside the Withdrawals article.</t>
  </si>
  <si>
    <t>Direct-match page for “VELoop wallet” (File 2, Category F), distinct from the authenticated /wallet transactional screen.</t>
  </si>
  <si>
    <t>Build a public educational page explaining what the Wallet is and how balances/payout methods work, separate from the private, authenticated transactional UI.</t>
  </si>
  <si>
    <t>/blog (index)</t>
  </si>
  <si>
    <t>Not confirmed to exist.  ||  Issue: No blog presence confirmed anywhere in File 1's audit — blocks the entire content calendar in File 5 from having anywhere to live.</t>
  </si>
  <si>
    <t>A blog index with clear categories (per brief Section 14) improves crawlability and internal linking for every future article.</t>
  </si>
  <si>
    <t>Build /blog with category filters (Rewards Guides, Earning Guides, Referral Guides, Platform Guides) matching brief Section 14.</t>
  </si>
  <si>
    <t>/login</t>
  </si>
  <si>
    <t>Not confirmed to be crawlable/linked.  ||  Issue: Branded query “VELoop Rewards login” has real search volume (File 2, Brand Keywords) but only resolves correctly if the page is indexable.</t>
  </si>
  <si>
    <t>Ensure the login page is linked from the homepage nav and not accidentally noindexed or orphaned.</t>
  </si>
  <si>
    <t>Confirm login page is crawlable and returns a 200 status; add a short, genuine meta description.</t>
  </si>
  <si>
    <t>Suggested URL</t>
  </si>
  <si>
    <t>Recommendation</t>
  </si>
  <si>
    <t>Reasoning</t>
  </si>
  <si>
    <t>Watch Ads &amp; Earn</t>
  </si>
  <si>
    <t>Create public SEO landing page</t>
  </si>
  <si>
    <t>Core acquisition feature and VELoop's own current homepage focus; high keyword relevance (File 2, Category B).</t>
  </si>
  <si>
    <t>Refer &amp; Earn</t>
  </si>
  <si>
    <t>Critical content gap (File 4); strong transactional keyword intent.</t>
  </si>
  <si>
    <t>Daily Rewards / Daily Streak</t>
  </si>
  <si>
    <t>Matches Category B keywords; also supports retention content.</t>
  </si>
  <si>
    <t>Spin &amp; Win</t>
  </si>
  <si>
    <t>/spin-and-win</t>
  </si>
  <si>
    <t>Distinct, brandable feature with its own keyword set and low competitor coverage (File 3/4).</t>
  </si>
  <si>
    <t>Games</t>
  </si>
  <si>
    <t>/games</t>
  </si>
  <si>
    <t>Matches “online reward games” category keywords; competitor coverage confirmed (Freecash, JumpTask).</t>
  </si>
  <si>
    <t>Tasks</t>
  </si>
  <si>
    <t>/tasks</t>
  </si>
  <si>
    <t>Matches “earn rewards by completing tasks”; strong overlap with all three closest competitors.</t>
  </si>
  <si>
    <t>Mining / Tap &amp; Earn</t>
  </si>
  <si>
    <t>—</t>
  </si>
  <si>
    <t>Evaluate before building</t>
  </si>
  <si>
    <t>Niche terms with unconfirmed search demand; verify with a keyword tool before committing a dedicated page (avoid content built for a query with no real volume).</t>
  </si>
  <si>
    <t>Giveaways</t>
  </si>
  <si>
    <t>Keep as blog/announcement posts, not a static page</t>
  </si>
  <si>
    <t>Time-bound content is better suited to the blog than a permanent landing page that will go stale.</t>
  </si>
  <si>
    <t>Gems / Tokens / VEs / SVEs</t>
  </si>
  <si>
    <t>/what-are-ves, /what-are-sves</t>
  </si>
  <si>
    <t>Create public educational pages</t>
  </si>
  <si>
    <t>Uncontested platform-specific terms (File 2, Category E); zero competitor can answer these queries.</t>
  </si>
  <si>
    <t>Exchange Center (transactional UI)</t>
  </si>
  <si>
    <t>Keep private / noindex the transactional UI</t>
  </si>
  <si>
    <t>Wallet/exchange functionality should stay behind authentication; only the educational explainer needs to be public.</t>
  </si>
  <si>
    <t>Exchange Center Guide (public explainer)</t>
  </si>
  <si>
    <t>Create public educational page</t>
  </si>
  <si>
    <t>Direct-match keyword “VELoop exchange center” (File 2, Category F) with no current target page; covers mechanics only, no account data.</t>
  </si>
  <si>
    <t>Wallet / Withdrawals (transactional UI)</t>
  </si>
  <si>
    <t>/wallet</t>
  </si>
  <si>
    <t>Account-specific financial data should not be indexed; the public-facing withdrawal explainer belongs on the blog/trust page instead.</t>
  </si>
  <si>
    <t>Wallet Explained (public explainer)</t>
  </si>
  <si>
    <t>Direct-match keyword “VELoop wallet” (File 2, Category F) with no current target page; covers mechanics only, no account data.</t>
  </si>
  <si>
    <t>Leaderboards / Levels / Badges</t>
  </si>
  <si>
    <t>Keep private (low SEO priority)</t>
  </si>
  <si>
    <t>Engagement features with limited standalone search intent (File 1, Section 6); mention within other public pages rather than dedicating URLs.</t>
  </si>
  <si>
    <t>What's in this workbook</t>
  </si>
  <si>
    <t>• Dashboard — KPI summary and two charts covering recommendation priority and page type.</t>
  </si>
  <si>
    <t>• On-Page Recs — the URL-by-URL table required by brief Section 6: current state, issue, opportunity, recommended change, priority.</t>
  </si>
  <si>
    <t>• Feature Page Indexability — the public/private/noindex call for every VELoop feature, per brief Section 21.</t>
  </si>
  <si>
    <t>Why most rows say “not confirmed to exist”</t>
  </si>
  <si>
    <t>File 1's audit found that the only page directly verifiable in this project was the homepage — the site's JavaScript-rendered content and lack of a confirmed sitemap meant feature pages, blog, and trust pages could not be confirmed as existing, public, or indexed. Rather than guessing at issues on pages that may not exist yet, this workbook treats their absence itself as the primary on-page issue and recommends what to build, using the keyword and gap data from Files 2 and 4.</t>
  </si>
  <si>
    <t>How to use this alongside File 8</t>
  </si>
  <si>
    <t>This workbook is content/on-page focused (what a page should say and target). File 8, the Technical SEO Report, covers the underlying infrastructure (indexability, rendering, sitemap) that determines whether these recommendations can even be crawled once implemented. Both should reach the developer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</si>
</sst>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9"/>
      <color rgb="FF1F3A3D"/>
      <name val="Arial"/>
      <charset val="1"/>
    </font>
    <font>
      <i/>
      <sz val="11"/>
      <color rgb="FFC1694F"/>
      <name val="Arial"/>
      <charset val="1"/>
    </font>
    <font>
      <b/>
      <sz val="9.5"/>
      <color rgb="FFFFFFFF"/>
      <name val="Arial"/>
      <charset val="1"/>
    </font>
    <font>
      <b/>
      <sz val="26"/>
      <color rgb="FF1F3A3D"/>
      <name val="Arial"/>
      <charset val="1"/>
    </font>
    <font>
      <b/>
      <sz val="26"/>
      <color rgb="FFA83232"/>
      <name val="Arial"/>
      <charset val="1"/>
    </font>
    <font>
      <b/>
      <sz val="26"/>
      <color rgb="FFD4A24C"/>
      <name val="Arial"/>
      <charset val="1"/>
    </font>
    <font>
      <b/>
      <sz val="11"/>
      <color rgb="FF1F3A3D"/>
      <name val="Arial"/>
      <charset val="1"/>
    </font>
    <font>
      <b/>
      <sz val="9"/>
      <color rgb="FFFFFFFF"/>
      <name val="Arial"/>
      <charset val="1"/>
    </font>
    <font>
      <i/>
      <sz val="9.3000000000000007"/>
      <color rgb="FF2A2622"/>
      <name val="Arial"/>
      <charset val="1"/>
    </font>
    <font>
      <b/>
      <sz val="10"/>
      <color rgb="FFFFFFFF"/>
      <name val="Arial"/>
      <charset val="1"/>
    </font>
    <font>
      <sz val="9.3000000000000007"/>
      <color rgb="FF2A2622"/>
      <name val="Arial"/>
      <charset val="1"/>
    </font>
    <font>
      <b/>
      <sz val="9.3000000000000007"/>
      <color rgb="FFFFFFFF"/>
      <name val="Arial"/>
      <charset val="1"/>
    </font>
    <font>
      <b/>
      <sz val="10"/>
      <color rgb="FF2A2622"/>
      <name val="Arial"/>
      <charset val="1"/>
    </font>
    <font>
      <sz val="9.5"/>
      <color rgb="FF2A2622"/>
      <name val="Arial"/>
      <charset val="1"/>
    </font>
    <font>
      <b/>
      <sz val="16"/>
      <color rgb="FF1F3A3D"/>
      <name val="Arial"/>
      <charset val="1"/>
    </font>
    <font>
      <i/>
      <sz val="10.5"/>
      <color rgb="FFC1694F"/>
      <name val="Arial"/>
      <charset val="1"/>
    </font>
    <font>
      <b/>
      <sz val="11.5"/>
      <color rgb="FF1F3A3D"/>
      <name val="Arial"/>
      <charset val="1"/>
    </font>
    <font>
      <sz val="10"/>
      <color rgb="FF2A2622"/>
      <name val="Arial"/>
      <charset val="1"/>
    </font>
  </fonts>
  <fills count="9">
    <fill>
      <patternFill patternType="none"/>
    </fill>
    <fill>
      <patternFill patternType="gray125"/>
    </fill>
    <fill>
      <patternFill patternType="solid">
        <fgColor rgb="FFD4A24C"/>
        <bgColor rgb="FFC1694F"/>
      </patternFill>
    </fill>
    <fill>
      <patternFill patternType="solid">
        <fgColor rgb="FF1F3A3D"/>
        <bgColor rgb="FF2A2622"/>
      </patternFill>
    </fill>
    <fill>
      <patternFill patternType="solid">
        <fgColor rgb="FFA83232"/>
        <bgColor rgb="FF993366"/>
      </patternFill>
    </fill>
    <fill>
      <patternFill patternType="solid">
        <fgColor rgb="FFFAF3E8"/>
        <bgColor rgb="FFF9F9F9"/>
      </patternFill>
    </fill>
    <fill>
      <patternFill patternType="solid">
        <fgColor rgb="FFC1694F"/>
        <bgColor rgb="FF8E8A7E"/>
      </patternFill>
    </fill>
    <fill>
      <patternFill patternType="solid">
        <fgColor rgb="FF7FA98A"/>
        <bgColor rgb="FF8E8A7E"/>
      </patternFill>
    </fill>
    <fill>
      <patternFill patternType="solid">
        <fgColor rgb="FF8E8A7E"/>
        <bgColor rgb="FF878787"/>
      </patternFill>
    </fill>
  </fills>
  <borders count="5">
    <border>
      <left/>
      <right/>
      <top/>
      <bottom/>
      <diagonal/>
    </border>
    <border>
      <left style="medium">
        <color rgb="FF1F3A3D"/>
      </left>
      <right style="medium">
        <color rgb="FF1F3A3D"/>
      </right>
      <top style="medium">
        <color rgb="FF1F3A3D"/>
      </top>
      <bottom style="medium">
        <color rgb="FF1F3A3D"/>
      </bottom>
      <diagonal/>
    </border>
    <border>
      <left style="medium">
        <color rgb="FFA83232"/>
      </left>
      <right style="medium">
        <color rgb="FFA83232"/>
      </right>
      <top style="medium">
        <color rgb="FFA83232"/>
      </top>
      <bottom style="medium">
        <color rgb="FFA83232"/>
      </bottom>
      <diagonal/>
    </border>
    <border>
      <left style="medium">
        <color rgb="FFD4A24C"/>
      </left>
      <right style="medium">
        <color rgb="FFD4A24C"/>
      </right>
      <top style="medium">
        <color rgb="FFD4A24C"/>
      </top>
      <bottom style="medium">
        <color rgb="FFD4A24C"/>
      </bottom>
      <diagonal/>
    </border>
    <border>
      <left style="thin">
        <color rgb="FFE3D8C8"/>
      </left>
      <right style="thin">
        <color rgb="FFE3D8C8"/>
      </right>
      <top style="thin">
        <color rgb="FFE3D8C8"/>
      </top>
      <bottom style="thin">
        <color rgb="FFE3D8C8"/>
      </bottom>
      <diagonal/>
    </border>
  </borders>
  <cellStyleXfs count="1">
    <xf numFmtId="0" fontId="0" fillId="0" borderId="0"/>
  </cellStyleXfs>
  <cellXfs count="31">
    <xf numFmtId="0" fontId="0" fillId="0" borderId="0" xfId="0"/>
    <xf numFmtId="0" fontId="9" fillId="0" borderId="0" xfId="0" applyFont="1" applyAlignment="1">
      <alignment vertical="top" wrapText="1"/>
    </xf>
    <xf numFmtId="0" fontId="6" fillId="5" borderId="3" xfId="0" applyFont="1" applyFill="1" applyBorder="1" applyAlignment="1">
      <alignment horizontal="center" vertical="center"/>
    </xf>
    <xf numFmtId="0" fontId="5" fillId="5" borderId="2" xfId="0" applyFont="1" applyFill="1" applyBorder="1" applyAlignment="1">
      <alignment horizontal="center" vertical="center"/>
    </xf>
    <xf numFmtId="0" fontId="4" fillId="5"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3" borderId="1" xfId="0" applyFont="1" applyFill="1" applyBorder="1" applyAlignment="1">
      <alignment horizontal="center" vertical="center"/>
    </xf>
    <xf numFmtId="0" fontId="2" fillId="0" borderId="0" xfId="0" applyFont="1"/>
    <xf numFmtId="0" fontId="1" fillId="0" borderId="0" xfId="0" applyFont="1"/>
    <xf numFmtId="0" fontId="0" fillId="2" borderId="0" xfId="0" applyFill="1"/>
    <xf numFmtId="0" fontId="7" fillId="0" borderId="0" xfId="0" applyFont="1"/>
    <xf numFmtId="0" fontId="8" fillId="6" borderId="0" xfId="0" applyFont="1" applyFill="1"/>
    <xf numFmtId="0" fontId="8" fillId="2" borderId="0" xfId="0" applyFont="1" applyFill="1"/>
    <xf numFmtId="0" fontId="10" fillId="3" borderId="4" xfId="0" applyFont="1" applyFill="1" applyBorder="1" applyAlignment="1">
      <alignment horizontal="center" vertical="center" wrapText="1"/>
    </xf>
    <xf numFmtId="0" fontId="11" fillId="5" borderId="4" xfId="0" applyFont="1" applyFill="1" applyBorder="1" applyAlignment="1">
      <alignment horizontal="left" vertical="top" wrapText="1"/>
    </xf>
    <xf numFmtId="0" fontId="12" fillId="4" borderId="4" xfId="0" applyFont="1" applyFill="1" applyBorder="1" applyAlignment="1">
      <alignment horizontal="center" vertical="center"/>
    </xf>
    <xf numFmtId="0" fontId="11" fillId="0" borderId="4" xfId="0" applyFont="1" applyBorder="1" applyAlignment="1">
      <alignment horizontal="left" vertical="top" wrapText="1"/>
    </xf>
    <xf numFmtId="0" fontId="12" fillId="6" borderId="4" xfId="0" applyFont="1" applyFill="1" applyBorder="1" applyAlignment="1">
      <alignment horizontal="center" vertical="center"/>
    </xf>
    <xf numFmtId="0" fontId="12" fillId="2" borderId="4" xfId="0" applyFont="1" applyFill="1" applyBorder="1" applyAlignment="1">
      <alignment horizontal="center" vertical="center"/>
    </xf>
    <xf numFmtId="0" fontId="13" fillId="2" borderId="4" xfId="0" applyFont="1" applyFill="1" applyBorder="1" applyAlignment="1">
      <alignment horizontal="center" vertical="center" wrapText="1"/>
    </xf>
    <xf numFmtId="0" fontId="14" fillId="5" borderId="4" xfId="0" applyFont="1" applyFill="1" applyBorder="1" applyAlignment="1">
      <alignment horizontal="left" vertical="top" wrapText="1"/>
    </xf>
    <xf numFmtId="0" fontId="3" fillId="7" borderId="4" xfId="0" applyFont="1" applyFill="1" applyBorder="1" applyAlignment="1">
      <alignment horizontal="left" vertical="top" wrapText="1"/>
    </xf>
    <xf numFmtId="0" fontId="14" fillId="0" borderId="4" xfId="0" applyFont="1" applyBorder="1" applyAlignment="1">
      <alignment horizontal="left" vertical="top" wrapText="1"/>
    </xf>
    <xf numFmtId="0" fontId="3" fillId="2" borderId="4" xfId="0" applyFont="1" applyFill="1" applyBorder="1" applyAlignment="1">
      <alignment horizontal="left" vertical="top" wrapText="1"/>
    </xf>
    <xf numFmtId="0" fontId="3" fillId="4" borderId="4" xfId="0" applyFont="1" applyFill="1" applyBorder="1" applyAlignment="1">
      <alignment horizontal="left" vertical="top" wrapText="1"/>
    </xf>
    <xf numFmtId="0" fontId="3" fillId="8" borderId="4" xfId="0" applyFont="1" applyFill="1" applyBorder="1" applyAlignment="1">
      <alignment horizontal="left" vertical="top" wrapText="1"/>
    </xf>
    <xf numFmtId="0" fontId="15" fillId="0" borderId="0" xfId="0" applyFont="1"/>
    <xf numFmtId="0" fontId="16" fillId="0" borderId="0" xfId="0" applyFont="1"/>
    <xf numFmtId="0" fontId="17" fillId="0" borderId="0" xfId="0" applyFont="1" applyAlignment="1">
      <alignment vertical="top" wrapText="1"/>
    </xf>
    <xf numFmtId="0" fontId="18"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7FA98A"/>
      <rgbColor rgb="FF993366"/>
      <rgbColor rgb="FFFAF3E8"/>
      <rgbColor rgb="FFF9F9F9"/>
      <rgbColor rgb="FF660066"/>
      <rgbColor rgb="FFC1694F"/>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3D8C8"/>
      <rgbColor rgb="FF3366FF"/>
      <rgbColor rgb="FF33CCCC"/>
      <rgbColor rgb="FF99CC00"/>
      <rgbColor rgb="FFFFCC00"/>
      <rgbColor rgb="FFD4A24C"/>
      <rgbColor rgb="FFFF6600"/>
      <rgbColor rgb="FF4F81BD"/>
      <rgbColor rgb="FF8E8A7E"/>
      <rgbColor rgb="FF1F3A3D"/>
      <rgbColor rgb="FF339966"/>
      <rgbColor rgb="FF003300"/>
      <rgbColor rgb="FF5C4632"/>
      <rgbColor rgb="FFA83232"/>
      <rgbColor rgb="FF993366"/>
      <rgbColor rgb="FF333399"/>
      <rgbColor rgb="FF2A26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On-page fixes by priority</a:t>
            </a:r>
          </a:p>
        </c:rich>
      </c:tx>
      <c:overlay val="0"/>
      <c:spPr>
        <a:noFill/>
        <a:ln>
          <a:noFill/>
        </a:ln>
        <a:effectLst/>
      </c:spPr>
      <c:txPr>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Dashboard!$C$13</c:f>
              <c:strCache>
                <c:ptCount val="1"/>
                <c:pt idx="0">
                  <c:v>Count</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Dashboard!$B$14:$B$17</c:f>
              <c:strCache>
                <c:ptCount val="4"/>
                <c:pt idx="0">
                  <c:v>Critical</c:v>
                </c:pt>
                <c:pt idx="1">
                  <c:v>High</c:v>
                </c:pt>
                <c:pt idx="2">
                  <c:v>Medium</c:v>
                </c:pt>
                <c:pt idx="3">
                  <c:v>Low</c:v>
                </c:pt>
              </c:strCache>
            </c:strRef>
          </c:cat>
          <c:val>
            <c:numRef>
              <c:f>Dashboard!$C$14:$C$17</c:f>
              <c:numCache>
                <c:formatCode>General</c:formatCode>
                <c:ptCount val="4"/>
                <c:pt idx="0">
                  <c:v>3</c:v>
                </c:pt>
                <c:pt idx="1">
                  <c:v>6</c:v>
                </c:pt>
                <c:pt idx="2">
                  <c:v>3</c:v>
                </c:pt>
                <c:pt idx="3">
                  <c:v>0</c:v>
                </c:pt>
              </c:numCache>
            </c:numRef>
          </c:val>
          <c:extLst>
            <c:ext xmlns:c16="http://schemas.microsoft.com/office/drawing/2014/chart" uri="{C3380CC4-5D6E-409C-BE32-E72D297353CC}">
              <c16:uniqueId val="{00000000-8040-4794-A850-6735CFF2E0C9}"/>
            </c:ext>
          </c:extLst>
        </c:ser>
        <c:dLbls>
          <c:showLegendKey val="0"/>
          <c:showVal val="0"/>
          <c:showCatName val="0"/>
          <c:showSerName val="0"/>
          <c:showPercent val="0"/>
          <c:showBubbleSize val="0"/>
        </c:dLbls>
        <c:gapWidth val="100"/>
        <c:overlap val="-24"/>
        <c:axId val="6140098"/>
        <c:axId val="13978206"/>
      </c:barChart>
      <c:catAx>
        <c:axId val="614009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8206"/>
        <c:crosses val="autoZero"/>
        <c:auto val="1"/>
        <c:lblAlgn val="ctr"/>
        <c:lblOffset val="100"/>
        <c:noMultiLvlLbl val="0"/>
      </c:catAx>
      <c:valAx>
        <c:axId val="1397820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098"/>
        <c:crosses val="autoZero"/>
        <c:crossBetween val="between"/>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Recommendations by page type</a:t>
            </a:r>
          </a:p>
        </c:rich>
      </c:tx>
      <c:overlay val="0"/>
      <c:spPr>
        <a:noFill/>
        <a:ln>
          <a:noFill/>
        </a:ln>
        <a:effectLst/>
      </c:spPr>
      <c:txPr>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Dashboard!$G$13</c:f>
              <c:strCache>
                <c:ptCount val="1"/>
                <c:pt idx="0">
                  <c:v>Count</c:v>
                </c:pt>
              </c:strCache>
            </c:strRef>
          </c:tx>
          <c:dPt>
            <c:idx val="0"/>
            <c:bubble3D val="0"/>
            <c:spPr>
              <a:gradFill>
                <a:gsLst>
                  <a:gs pos="0">
                    <a:schemeClr val="accent1">
                      <a:shade val="50000"/>
                      <a:shade val="51000"/>
                    </a:schemeClr>
                  </a:gs>
                  <a:gs pos="80000">
                    <a:schemeClr val="accent1">
                      <a:shade val="50000"/>
                      <a:shade val="93000"/>
                    </a:schemeClr>
                  </a:gs>
                  <a:gs pos="100000">
                    <a:schemeClr val="accent1">
                      <a:shade val="50000"/>
                      <a:shade val="94000"/>
                    </a:schemeClr>
                  </a:gs>
                </a:gsLst>
                <a:lin ang="16200000" scaled="0"/>
                <a:tileRect/>
              </a:gradFill>
              <a:ln>
                <a:noFill/>
              </a:ln>
              <a:effectLst/>
            </c:spPr>
            <c:extLst>
              <c:ext xmlns:c16="http://schemas.microsoft.com/office/drawing/2014/chart" uri="{C3380CC4-5D6E-409C-BE32-E72D297353CC}">
                <c16:uniqueId val="{00000001-CD40-457D-A494-9A4D549325F2}"/>
              </c:ext>
            </c:extLst>
          </c:dPt>
          <c:dPt>
            <c:idx val="1"/>
            <c:bubble3D val="0"/>
            <c:spPr>
              <a:gradFill>
                <a:gsLst>
                  <a:gs pos="0">
                    <a:schemeClr val="accent1">
                      <a:shade val="70000"/>
                      <a:shade val="51000"/>
                    </a:schemeClr>
                  </a:gs>
                  <a:gs pos="80000">
                    <a:schemeClr val="accent1">
                      <a:shade val="70000"/>
                      <a:shade val="93000"/>
                    </a:schemeClr>
                  </a:gs>
                  <a:gs pos="100000">
                    <a:schemeClr val="accent1">
                      <a:shade val="70000"/>
                      <a:shade val="94000"/>
                    </a:schemeClr>
                  </a:gs>
                </a:gsLst>
                <a:lin ang="16200000" scaled="0"/>
                <a:tileRect/>
              </a:gradFill>
              <a:ln>
                <a:noFill/>
              </a:ln>
              <a:effectLst/>
            </c:spPr>
            <c:extLst>
              <c:ext xmlns:c16="http://schemas.microsoft.com/office/drawing/2014/chart" uri="{C3380CC4-5D6E-409C-BE32-E72D297353CC}">
                <c16:uniqueId val="{00000003-CD40-457D-A494-9A4D549325F2}"/>
              </c:ext>
            </c:extLst>
          </c:dPt>
          <c:dPt>
            <c:idx val="2"/>
            <c:bubble3D val="0"/>
            <c:spPr>
              <a:gradFill>
                <a:gsLst>
                  <a:gs pos="0">
                    <a:schemeClr val="accent1">
                      <a:shade val="90000"/>
                      <a:shade val="51000"/>
                    </a:schemeClr>
                  </a:gs>
                  <a:gs pos="80000">
                    <a:schemeClr val="accent1">
                      <a:shade val="90000"/>
                      <a:shade val="93000"/>
                    </a:schemeClr>
                  </a:gs>
                  <a:gs pos="100000">
                    <a:schemeClr val="accent1">
                      <a:shade val="90000"/>
                      <a:shade val="94000"/>
                    </a:schemeClr>
                  </a:gs>
                </a:gsLst>
                <a:lin ang="16200000" scaled="0"/>
                <a:tileRect/>
              </a:gradFill>
              <a:ln>
                <a:noFill/>
              </a:ln>
              <a:effectLst/>
            </c:spPr>
            <c:extLst>
              <c:ext xmlns:c16="http://schemas.microsoft.com/office/drawing/2014/chart" uri="{C3380CC4-5D6E-409C-BE32-E72D297353CC}">
                <c16:uniqueId val="{00000005-CD40-457D-A494-9A4D549325F2}"/>
              </c:ext>
            </c:extLst>
          </c:dPt>
          <c:dPt>
            <c:idx val="3"/>
            <c:bubble3D val="0"/>
            <c:spPr>
              <a:gradFill>
                <a:gsLst>
                  <a:gs pos="0">
                    <a:schemeClr val="accent1">
                      <a:tint val="90000"/>
                      <a:shade val="51000"/>
                    </a:schemeClr>
                  </a:gs>
                  <a:gs pos="80000">
                    <a:schemeClr val="accent1">
                      <a:tint val="90000"/>
                      <a:shade val="93000"/>
                    </a:schemeClr>
                  </a:gs>
                  <a:gs pos="100000">
                    <a:schemeClr val="accent1">
                      <a:tint val="90000"/>
                      <a:shade val="94000"/>
                    </a:schemeClr>
                  </a:gs>
                </a:gsLst>
                <a:lin ang="16200000" scaled="0"/>
                <a:tileRect/>
              </a:gradFill>
              <a:ln>
                <a:noFill/>
              </a:ln>
              <a:effectLst/>
            </c:spPr>
            <c:extLst>
              <c:ext xmlns:c16="http://schemas.microsoft.com/office/drawing/2014/chart" uri="{C3380CC4-5D6E-409C-BE32-E72D297353CC}">
                <c16:uniqueId val="{00000007-CD40-457D-A494-9A4D549325F2}"/>
              </c:ext>
            </c:extLst>
          </c:dPt>
          <c:dPt>
            <c:idx val="4"/>
            <c:bubble3D val="0"/>
            <c:spPr>
              <a:gradFill>
                <a:gsLst>
                  <a:gs pos="0">
                    <a:schemeClr val="accent1">
                      <a:tint val="70000"/>
                      <a:shade val="51000"/>
                    </a:schemeClr>
                  </a:gs>
                  <a:gs pos="80000">
                    <a:schemeClr val="accent1">
                      <a:tint val="70000"/>
                      <a:shade val="93000"/>
                    </a:schemeClr>
                  </a:gs>
                  <a:gs pos="100000">
                    <a:schemeClr val="accent1">
                      <a:tint val="70000"/>
                      <a:shade val="94000"/>
                    </a:schemeClr>
                  </a:gs>
                </a:gsLst>
                <a:lin ang="16200000" scaled="0"/>
                <a:tileRect/>
              </a:gradFill>
              <a:ln>
                <a:noFill/>
              </a:ln>
              <a:effectLst/>
            </c:spPr>
            <c:extLst>
              <c:ext xmlns:c16="http://schemas.microsoft.com/office/drawing/2014/chart" uri="{C3380CC4-5D6E-409C-BE32-E72D297353CC}">
                <c16:uniqueId val="{00000009-CD40-457D-A494-9A4D549325F2}"/>
              </c:ext>
            </c:extLst>
          </c:dPt>
          <c:dPt>
            <c:idx val="5"/>
            <c:bubble3D val="0"/>
            <c:spPr>
              <a:gradFill>
                <a:gsLst>
                  <a:gs pos="0">
                    <a:schemeClr val="accent1">
                      <a:tint val="50000"/>
                      <a:shade val="51000"/>
                    </a:schemeClr>
                  </a:gs>
                  <a:gs pos="80000">
                    <a:schemeClr val="accent1">
                      <a:tint val="50000"/>
                      <a:shade val="93000"/>
                    </a:schemeClr>
                  </a:gs>
                  <a:gs pos="100000">
                    <a:schemeClr val="accent1">
                      <a:tint val="50000"/>
                      <a:shade val="94000"/>
                    </a:schemeClr>
                  </a:gs>
                </a:gsLst>
                <a:lin ang="16200000" scaled="0"/>
                <a:tileRect/>
              </a:gradFill>
              <a:ln>
                <a:noFill/>
              </a:ln>
              <a:effectLst/>
            </c:spPr>
            <c:extLst>
              <c:ext xmlns:c16="http://schemas.microsoft.com/office/drawing/2014/chart" uri="{C3380CC4-5D6E-409C-BE32-E72D297353CC}">
                <c16:uniqueId val="{0000000B-CD40-457D-A494-9A4D549325F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Dashboard!$F$14:$F$19</c:f>
              <c:strCache>
                <c:ptCount val="6"/>
                <c:pt idx="0">
                  <c:v>Blog</c:v>
                </c:pt>
                <c:pt idx="1">
                  <c:v>Core</c:v>
                </c:pt>
                <c:pt idx="2">
                  <c:v>Feature</c:v>
                </c:pt>
                <c:pt idx="3">
                  <c:v>Feature/Trust</c:v>
                </c:pt>
                <c:pt idx="4">
                  <c:v>Trust</c:v>
                </c:pt>
                <c:pt idx="5">
                  <c:v>Utility</c:v>
                </c:pt>
              </c:strCache>
            </c:strRef>
          </c:cat>
          <c:val>
            <c:numRef>
              <c:f>Dashboard!$G$14:$G$19</c:f>
              <c:numCache>
                <c:formatCode>General</c:formatCode>
                <c:ptCount val="6"/>
                <c:pt idx="0">
                  <c:v>1</c:v>
                </c:pt>
                <c:pt idx="1">
                  <c:v>1</c:v>
                </c:pt>
                <c:pt idx="2">
                  <c:v>4</c:v>
                </c:pt>
                <c:pt idx="3">
                  <c:v>1</c:v>
                </c:pt>
                <c:pt idx="4">
                  <c:v>4</c:v>
                </c:pt>
                <c:pt idx="5">
                  <c:v>1</c:v>
                </c:pt>
              </c:numCache>
            </c:numRef>
          </c:val>
          <c:extLst>
            <c:ext xmlns:c16="http://schemas.microsoft.com/office/drawing/2014/chart" uri="{C3380CC4-5D6E-409C-BE32-E72D297353CC}">
              <c16:uniqueId val="{0000000C-CD40-457D-A494-9A4D549325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19</xdr:row>
      <xdr:rowOff>190455</xdr:rowOff>
    </xdr:from>
    <xdr:to>
      <xdr:col>4</xdr:col>
      <xdr:colOff>172770</xdr:colOff>
      <xdr:row>34</xdr:row>
      <xdr:rowOff>32715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38100</xdr:colOff>
      <xdr:row>20</xdr:row>
      <xdr:rowOff>9480</xdr:rowOff>
    </xdr:from>
    <xdr:to>
      <xdr:col>9</xdr:col>
      <xdr:colOff>268020</xdr:colOff>
      <xdr:row>34</xdr:row>
      <xdr:rowOff>42240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3D"/>
  </sheetPr>
  <dimension ref="B2:I36"/>
  <sheetViews>
    <sheetView showGridLines="0" topLeftCell="A10" zoomScaleNormal="100" workbookViewId="0">
      <selection activeCell="E14" sqref="E14"/>
    </sheetView>
  </sheetViews>
  <sheetFormatPr defaultColWidth="8.7109375" defaultRowHeight="15" x14ac:dyDescent="0.25"/>
  <cols>
    <col min="1" max="1" width="2" customWidth="1"/>
    <col min="2" max="5" width="18" customWidth="1"/>
    <col min="6" max="6" width="23.140625" customWidth="1"/>
    <col min="7" max="7" width="10.7109375" customWidth="1"/>
    <col min="8" max="8" width="16" customWidth="1"/>
    <col min="9" max="9" width="3" customWidth="1"/>
    <col min="10" max="11" width="16" customWidth="1"/>
    <col min="12" max="12" width="3" customWidth="1"/>
    <col min="13" max="14" width="16" customWidth="1"/>
    <col min="15" max="15" width="2" customWidth="1"/>
  </cols>
  <sheetData>
    <row r="2" spans="2:9" ht="24" x14ac:dyDescent="0.35">
      <c r="B2" s="9" t="s">
        <v>0</v>
      </c>
      <c r="C2" s="9"/>
      <c r="D2" s="9"/>
      <c r="E2" s="9"/>
      <c r="F2" s="9"/>
      <c r="G2" s="9"/>
      <c r="H2" s="9"/>
      <c r="I2" s="9"/>
    </row>
    <row r="3" spans="2:9" x14ac:dyDescent="0.25">
      <c r="B3" s="8"/>
      <c r="C3" s="8"/>
      <c r="D3" s="8"/>
      <c r="E3" s="8"/>
      <c r="F3" s="8"/>
      <c r="G3" s="8"/>
      <c r="H3" s="8"/>
      <c r="I3" s="8"/>
    </row>
    <row r="4" spans="2:9" ht="3.75" customHeight="1" x14ac:dyDescent="0.25">
      <c r="B4" s="10"/>
      <c r="C4" s="10"/>
      <c r="D4" s="10"/>
      <c r="E4" s="10"/>
      <c r="F4" s="10"/>
      <c r="G4" s="10"/>
      <c r="H4" s="10"/>
      <c r="I4" s="10"/>
    </row>
    <row r="6" spans="2:9" x14ac:dyDescent="0.25">
      <c r="B6" s="7" t="s">
        <v>1</v>
      </c>
      <c r="C6" s="7"/>
      <c r="D6" s="6" t="s">
        <v>2</v>
      </c>
      <c r="E6" s="6"/>
      <c r="F6" s="5" t="s">
        <v>3</v>
      </c>
      <c r="G6" s="5"/>
    </row>
    <row r="7" spans="2:9" x14ac:dyDescent="0.25">
      <c r="B7" s="4">
        <f>COUNTA('On-Page Recs'!A2:A100)-COUNTBLANK('On-Page Recs'!A2:A100)</f>
        <v>-75</v>
      </c>
      <c r="C7" s="4"/>
      <c r="D7" s="3">
        <f>COUNTIF('On-Page Recs'!F2:F100,"Critical")</f>
        <v>3</v>
      </c>
      <c r="E7" s="3"/>
      <c r="F7" s="2">
        <f>SUMPRODUCT(--ISNUMBER(SEARCH("Not confirmed",'On-Page Recs'!C2:C100)))</f>
        <v>10</v>
      </c>
      <c r="G7" s="2"/>
    </row>
    <row r="8" spans="2:9" x14ac:dyDescent="0.25">
      <c r="B8" s="4"/>
      <c r="C8" s="4"/>
      <c r="D8" s="3"/>
      <c r="E8" s="3"/>
      <c r="F8" s="2"/>
      <c r="G8" s="2"/>
    </row>
    <row r="9" spans="2:9" x14ac:dyDescent="0.25">
      <c r="B9" s="4"/>
      <c r="C9" s="4"/>
      <c r="D9" s="3"/>
      <c r="E9" s="3"/>
      <c r="F9" s="2"/>
      <c r="G9" s="2"/>
    </row>
    <row r="12" spans="2:9" x14ac:dyDescent="0.25">
      <c r="B12" s="11" t="s">
        <v>4</v>
      </c>
      <c r="F12" s="11" t="s">
        <v>5</v>
      </c>
    </row>
    <row r="13" spans="2:9" x14ac:dyDescent="0.25">
      <c r="B13" s="12" t="s">
        <v>6</v>
      </c>
      <c r="C13" s="12" t="s">
        <v>7</v>
      </c>
      <c r="F13" s="13" t="s">
        <v>8</v>
      </c>
      <c r="G13" s="13" t="s">
        <v>7</v>
      </c>
    </row>
    <row r="14" spans="2:9" x14ac:dyDescent="0.25">
      <c r="B14" t="s">
        <v>9</v>
      </c>
      <c r="C14">
        <f>COUNTIF('On-Page Recs'!F2:F100,"Critical")</f>
        <v>3</v>
      </c>
      <c r="F14" t="s">
        <v>10</v>
      </c>
      <c r="G14">
        <f>COUNTIF('On-Page Recs'!B2:B100,"Blog")</f>
        <v>1</v>
      </c>
    </row>
    <row r="15" spans="2:9" x14ac:dyDescent="0.25">
      <c r="B15" t="s">
        <v>11</v>
      </c>
      <c r="C15">
        <f>COUNTIF('On-Page Recs'!F2:F100,"High")</f>
        <v>6</v>
      </c>
      <c r="F15" t="s">
        <v>12</v>
      </c>
      <c r="G15">
        <f>COUNTIF('On-Page Recs'!B2:B100,"Core")</f>
        <v>1</v>
      </c>
    </row>
    <row r="16" spans="2:9" x14ac:dyDescent="0.25">
      <c r="B16" t="s">
        <v>13</v>
      </c>
      <c r="C16">
        <f>COUNTIF('On-Page Recs'!F2:F100,"Medium")</f>
        <v>3</v>
      </c>
      <c r="F16" t="s">
        <v>14</v>
      </c>
      <c r="G16">
        <f>COUNTIF('On-Page Recs'!B2:B100,"Feature")</f>
        <v>4</v>
      </c>
    </row>
    <row r="17" spans="2:7" x14ac:dyDescent="0.25">
      <c r="B17" t="s">
        <v>15</v>
      </c>
      <c r="C17">
        <f>COUNTIF('On-Page Recs'!F2:F100,"Low")</f>
        <v>0</v>
      </c>
      <c r="F17" t="s">
        <v>16</v>
      </c>
      <c r="G17">
        <f>COUNTIF('On-Page Recs'!B2:B100,"Feature/Trust")</f>
        <v>1</v>
      </c>
    </row>
    <row r="18" spans="2:7" x14ac:dyDescent="0.25">
      <c r="F18" t="s">
        <v>17</v>
      </c>
      <c r="G18">
        <f>COUNTIF('On-Page Recs'!B2:B100,"Trust")</f>
        <v>4</v>
      </c>
    </row>
    <row r="19" spans="2:7" x14ac:dyDescent="0.25">
      <c r="F19" t="s">
        <v>18</v>
      </c>
      <c r="G19">
        <f>COUNTIF('On-Page Recs'!B2:B100,"Utility")</f>
        <v>1</v>
      </c>
    </row>
    <row r="34" spans="2:9" ht="15" customHeight="1" x14ac:dyDescent="0.25">
      <c r="B34" s="1"/>
      <c r="C34" s="1"/>
      <c r="D34" s="1"/>
      <c r="E34" s="1"/>
      <c r="F34" s="1"/>
      <c r="G34" s="1"/>
      <c r="H34" s="1"/>
      <c r="I34" s="1"/>
    </row>
    <row r="35" spans="2:9" x14ac:dyDescent="0.25">
      <c r="B35" s="1"/>
      <c r="C35" s="1"/>
      <c r="D35" s="1"/>
      <c r="E35" s="1"/>
      <c r="F35" s="1"/>
      <c r="G35" s="1"/>
      <c r="H35" s="1"/>
      <c r="I35" s="1"/>
    </row>
    <row r="36" spans="2:9" x14ac:dyDescent="0.25">
      <c r="B36" s="1"/>
      <c r="C36" s="1"/>
      <c r="D36" s="1"/>
      <c r="E36" s="1"/>
      <c r="F36" s="1"/>
      <c r="G36" s="1"/>
      <c r="H36" s="1"/>
      <c r="I36" s="1"/>
    </row>
  </sheetData>
  <mergeCells count="9">
    <mergeCell ref="B7:C9"/>
    <mergeCell ref="D7:E9"/>
    <mergeCell ref="F7:G9"/>
    <mergeCell ref="B34:I36"/>
    <mergeCell ref="B2:I2"/>
    <mergeCell ref="B3:I3"/>
    <mergeCell ref="B6:C6"/>
    <mergeCell ref="D6:E6"/>
    <mergeCell ref="F6:G6"/>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1694F"/>
  </sheetPr>
  <dimension ref="A1:F13"/>
  <sheetViews>
    <sheetView showGridLines="0" zoomScaleNormal="100" workbookViewId="0">
      <pane ySplit="1" topLeftCell="A11" activePane="bottomLeft" state="frozen"/>
      <selection pane="bottomLeft"/>
    </sheetView>
  </sheetViews>
  <sheetFormatPr defaultColWidth="8.7109375" defaultRowHeight="15" x14ac:dyDescent="0.25"/>
  <cols>
    <col min="1" max="1" width="22" customWidth="1"/>
    <col min="2" max="2" width="14" customWidth="1"/>
    <col min="3" max="3" width="42" customWidth="1"/>
    <col min="4" max="4" width="34" customWidth="1"/>
    <col min="5" max="5" width="40" customWidth="1"/>
    <col min="6" max="6" width="10" customWidth="1"/>
  </cols>
  <sheetData>
    <row r="1" spans="1:6" x14ac:dyDescent="0.25">
      <c r="A1" s="14" t="s">
        <v>19</v>
      </c>
      <c r="B1" s="14" t="s">
        <v>8</v>
      </c>
      <c r="C1" s="14" t="s">
        <v>20</v>
      </c>
      <c r="D1" s="14" t="s">
        <v>21</v>
      </c>
      <c r="E1" s="14" t="s">
        <v>22</v>
      </c>
      <c r="F1" s="14" t="s">
        <v>6</v>
      </c>
    </row>
    <row r="2" spans="1:6" ht="69.75" customHeight="1" x14ac:dyDescent="0.25">
      <c r="A2" s="15" t="s">
        <v>23</v>
      </c>
      <c r="B2" s="15" t="s">
        <v>12</v>
      </c>
      <c r="C2" s="15" t="s">
        <v>24</v>
      </c>
      <c r="D2" s="15" t="s">
        <v>25</v>
      </c>
      <c r="E2" s="15" t="s">
        <v>26</v>
      </c>
      <c r="F2" s="16" t="s">
        <v>9</v>
      </c>
    </row>
    <row r="3" spans="1:6" ht="69.75" customHeight="1" x14ac:dyDescent="0.25">
      <c r="A3" s="17" t="s">
        <v>27</v>
      </c>
      <c r="B3" s="17" t="s">
        <v>14</v>
      </c>
      <c r="C3" s="17" t="s">
        <v>28</v>
      </c>
      <c r="D3" s="17" t="s">
        <v>29</v>
      </c>
      <c r="E3" s="17" t="s">
        <v>30</v>
      </c>
      <c r="F3" s="18" t="s">
        <v>11</v>
      </c>
    </row>
    <row r="4" spans="1:6" ht="69.75" customHeight="1" x14ac:dyDescent="0.25">
      <c r="A4" s="15" t="s">
        <v>31</v>
      </c>
      <c r="B4" s="15" t="s">
        <v>14</v>
      </c>
      <c r="C4" s="15" t="s">
        <v>32</v>
      </c>
      <c r="D4" s="15" t="s">
        <v>33</v>
      </c>
      <c r="E4" s="15" t="s">
        <v>34</v>
      </c>
      <c r="F4" s="19" t="s">
        <v>13</v>
      </c>
    </row>
    <row r="5" spans="1:6" ht="69.75" customHeight="1" x14ac:dyDescent="0.25">
      <c r="A5" s="17" t="s">
        <v>35</v>
      </c>
      <c r="B5" s="17" t="s">
        <v>14</v>
      </c>
      <c r="C5" s="17" t="s">
        <v>36</v>
      </c>
      <c r="D5" s="17" t="s">
        <v>37</v>
      </c>
      <c r="E5" s="17" t="s">
        <v>38</v>
      </c>
      <c r="F5" s="18" t="s">
        <v>11</v>
      </c>
    </row>
    <row r="6" spans="1:6" ht="69.75" customHeight="1" x14ac:dyDescent="0.25">
      <c r="A6" s="15" t="s">
        <v>39</v>
      </c>
      <c r="B6" s="15" t="s">
        <v>14</v>
      </c>
      <c r="C6" s="15" t="s">
        <v>40</v>
      </c>
      <c r="D6" s="15" t="s">
        <v>41</v>
      </c>
      <c r="E6" s="15" t="s">
        <v>42</v>
      </c>
      <c r="F6" s="19" t="s">
        <v>13</v>
      </c>
    </row>
    <row r="7" spans="1:6" ht="69.75" customHeight="1" x14ac:dyDescent="0.25">
      <c r="A7" s="17" t="s">
        <v>43</v>
      </c>
      <c r="B7" s="17" t="s">
        <v>17</v>
      </c>
      <c r="C7" s="17" t="s">
        <v>44</v>
      </c>
      <c r="D7" s="17" t="s">
        <v>45</v>
      </c>
      <c r="E7" s="17" t="s">
        <v>46</v>
      </c>
      <c r="F7" s="16" t="s">
        <v>9</v>
      </c>
    </row>
    <row r="8" spans="1:6" ht="69.75" customHeight="1" x14ac:dyDescent="0.25">
      <c r="A8" s="15" t="s">
        <v>47</v>
      </c>
      <c r="B8" s="15" t="s">
        <v>17</v>
      </c>
      <c r="C8" s="15" t="s">
        <v>48</v>
      </c>
      <c r="D8" s="15" t="s">
        <v>49</v>
      </c>
      <c r="E8" s="15" t="s">
        <v>50</v>
      </c>
      <c r="F8" s="18" t="s">
        <v>11</v>
      </c>
    </row>
    <row r="9" spans="1:6" ht="69.75" customHeight="1" x14ac:dyDescent="0.25">
      <c r="A9" s="17" t="s">
        <v>51</v>
      </c>
      <c r="B9" s="17" t="s">
        <v>16</v>
      </c>
      <c r="C9" s="17" t="s">
        <v>52</v>
      </c>
      <c r="D9" s="17" t="s">
        <v>53</v>
      </c>
      <c r="E9" s="17" t="s">
        <v>54</v>
      </c>
      <c r="F9" s="18" t="s">
        <v>11</v>
      </c>
    </row>
    <row r="10" spans="1:6" ht="69.75" customHeight="1" x14ac:dyDescent="0.25">
      <c r="A10" s="15" t="s">
        <v>55</v>
      </c>
      <c r="B10" s="15" t="s">
        <v>17</v>
      </c>
      <c r="C10" s="15" t="s">
        <v>56</v>
      </c>
      <c r="D10" s="15" t="s">
        <v>57</v>
      </c>
      <c r="E10" s="15" t="s">
        <v>58</v>
      </c>
      <c r="F10" s="18" t="s">
        <v>11</v>
      </c>
    </row>
    <row r="11" spans="1:6" ht="69.75" customHeight="1" x14ac:dyDescent="0.25">
      <c r="A11" s="17" t="s">
        <v>59</v>
      </c>
      <c r="B11" s="17" t="s">
        <v>17</v>
      </c>
      <c r="C11" s="17" t="s">
        <v>60</v>
      </c>
      <c r="D11" s="17" t="s">
        <v>61</v>
      </c>
      <c r="E11" s="17" t="s">
        <v>62</v>
      </c>
      <c r="F11" s="18" t="s">
        <v>11</v>
      </c>
    </row>
    <row r="12" spans="1:6" ht="69.75" customHeight="1" x14ac:dyDescent="0.25">
      <c r="A12" s="15" t="s">
        <v>63</v>
      </c>
      <c r="B12" s="15" t="s">
        <v>10</v>
      </c>
      <c r="C12" s="15" t="s">
        <v>64</v>
      </c>
      <c r="D12" s="15" t="s">
        <v>65</v>
      </c>
      <c r="E12" s="15" t="s">
        <v>66</v>
      </c>
      <c r="F12" s="16" t="s">
        <v>9</v>
      </c>
    </row>
    <row r="13" spans="1:6" ht="69.75" customHeight="1" x14ac:dyDescent="0.25">
      <c r="A13" s="17" t="s">
        <v>67</v>
      </c>
      <c r="B13" s="17" t="s">
        <v>18</v>
      </c>
      <c r="C13" s="17" t="s">
        <v>68</v>
      </c>
      <c r="D13" s="17" t="s">
        <v>69</v>
      </c>
      <c r="E13" s="17" t="s">
        <v>70</v>
      </c>
      <c r="F13" s="19" t="s">
        <v>13</v>
      </c>
    </row>
  </sheetData>
  <autoFilter ref="A1:F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4A24C"/>
  </sheetPr>
  <dimension ref="A1:D15"/>
  <sheetViews>
    <sheetView showGridLines="0" zoomScaleNormal="100" workbookViewId="0">
      <pane ySplit="1" topLeftCell="A2" activePane="bottomLeft" state="frozen"/>
      <selection pane="bottomLeft"/>
    </sheetView>
  </sheetViews>
  <sheetFormatPr defaultColWidth="8.7109375" defaultRowHeight="15" x14ac:dyDescent="0.25"/>
  <cols>
    <col min="1" max="2" width="26" customWidth="1"/>
    <col min="3" max="3" width="28" customWidth="1"/>
    <col min="4" max="4" width="52" customWidth="1"/>
  </cols>
  <sheetData>
    <row r="1" spans="1:4" x14ac:dyDescent="0.25">
      <c r="A1" s="20" t="s">
        <v>14</v>
      </c>
      <c r="B1" s="20" t="s">
        <v>71</v>
      </c>
      <c r="C1" s="20" t="s">
        <v>72</v>
      </c>
      <c r="D1" s="20" t="s">
        <v>73</v>
      </c>
    </row>
    <row r="2" spans="1:4" ht="43.5" customHeight="1" x14ac:dyDescent="0.25">
      <c r="A2" s="21" t="s">
        <v>74</v>
      </c>
      <c r="B2" s="21" t="s">
        <v>31</v>
      </c>
      <c r="C2" s="22" t="s">
        <v>75</v>
      </c>
      <c r="D2" s="21" t="s">
        <v>76</v>
      </c>
    </row>
    <row r="3" spans="1:4" ht="43.5" customHeight="1" x14ac:dyDescent="0.25">
      <c r="A3" s="23" t="s">
        <v>77</v>
      </c>
      <c r="B3" s="23" t="s">
        <v>27</v>
      </c>
      <c r="C3" s="22" t="s">
        <v>75</v>
      </c>
      <c r="D3" s="23" t="s">
        <v>78</v>
      </c>
    </row>
    <row r="4" spans="1:4" ht="43.5" customHeight="1" x14ac:dyDescent="0.25">
      <c r="A4" s="21" t="s">
        <v>79</v>
      </c>
      <c r="B4" s="21" t="s">
        <v>39</v>
      </c>
      <c r="C4" s="22" t="s">
        <v>75</v>
      </c>
      <c r="D4" s="21" t="s">
        <v>80</v>
      </c>
    </row>
    <row r="5" spans="1:4" ht="43.5" customHeight="1" x14ac:dyDescent="0.25">
      <c r="A5" s="23" t="s">
        <v>81</v>
      </c>
      <c r="B5" s="23" t="s">
        <v>82</v>
      </c>
      <c r="C5" s="22" t="s">
        <v>75</v>
      </c>
      <c r="D5" s="23" t="s">
        <v>83</v>
      </c>
    </row>
    <row r="6" spans="1:4" ht="43.5" customHeight="1" x14ac:dyDescent="0.25">
      <c r="A6" s="21" t="s">
        <v>84</v>
      </c>
      <c r="B6" s="21" t="s">
        <v>85</v>
      </c>
      <c r="C6" s="22" t="s">
        <v>75</v>
      </c>
      <c r="D6" s="21" t="s">
        <v>86</v>
      </c>
    </row>
    <row r="7" spans="1:4" ht="43.5" customHeight="1" x14ac:dyDescent="0.25">
      <c r="A7" s="23" t="s">
        <v>87</v>
      </c>
      <c r="B7" s="23" t="s">
        <v>88</v>
      </c>
      <c r="C7" s="22" t="s">
        <v>75</v>
      </c>
      <c r="D7" s="23" t="s">
        <v>89</v>
      </c>
    </row>
    <row r="8" spans="1:4" ht="43.5" customHeight="1" x14ac:dyDescent="0.25">
      <c r="A8" s="21" t="s">
        <v>90</v>
      </c>
      <c r="B8" s="21" t="s">
        <v>91</v>
      </c>
      <c r="C8" s="24" t="s">
        <v>92</v>
      </c>
      <c r="D8" s="21" t="s">
        <v>93</v>
      </c>
    </row>
    <row r="9" spans="1:4" ht="43.5" customHeight="1" x14ac:dyDescent="0.25">
      <c r="A9" s="23" t="s">
        <v>94</v>
      </c>
      <c r="B9" s="23" t="s">
        <v>91</v>
      </c>
      <c r="C9" s="24" t="s">
        <v>95</v>
      </c>
      <c r="D9" s="23" t="s">
        <v>96</v>
      </c>
    </row>
    <row r="10" spans="1:4" ht="43.5" customHeight="1" x14ac:dyDescent="0.25">
      <c r="A10" s="21" t="s">
        <v>97</v>
      </c>
      <c r="B10" s="21" t="s">
        <v>98</v>
      </c>
      <c r="C10" s="22" t="s">
        <v>99</v>
      </c>
      <c r="D10" s="21" t="s">
        <v>100</v>
      </c>
    </row>
    <row r="11" spans="1:4" ht="43.5" customHeight="1" x14ac:dyDescent="0.25">
      <c r="A11" s="23" t="s">
        <v>101</v>
      </c>
      <c r="B11" s="23" t="s">
        <v>51</v>
      </c>
      <c r="C11" s="25" t="s">
        <v>102</v>
      </c>
      <c r="D11" s="23" t="s">
        <v>103</v>
      </c>
    </row>
    <row r="12" spans="1:4" ht="43.5" customHeight="1" x14ac:dyDescent="0.25">
      <c r="A12" s="21" t="s">
        <v>104</v>
      </c>
      <c r="B12" s="21" t="s">
        <v>55</v>
      </c>
      <c r="C12" s="26" t="s">
        <v>105</v>
      </c>
      <c r="D12" s="21" t="s">
        <v>106</v>
      </c>
    </row>
    <row r="13" spans="1:4" ht="43.5" customHeight="1" x14ac:dyDescent="0.25">
      <c r="A13" s="23" t="s">
        <v>107</v>
      </c>
      <c r="B13" s="23" t="s">
        <v>108</v>
      </c>
      <c r="C13" s="25" t="s">
        <v>102</v>
      </c>
      <c r="D13" s="23" t="s">
        <v>109</v>
      </c>
    </row>
    <row r="14" spans="1:4" ht="43.5" customHeight="1" x14ac:dyDescent="0.25">
      <c r="A14" s="21" t="s">
        <v>110</v>
      </c>
      <c r="B14" s="21" t="s">
        <v>59</v>
      </c>
      <c r="C14" s="26" t="s">
        <v>105</v>
      </c>
      <c r="D14" s="21" t="s">
        <v>111</v>
      </c>
    </row>
    <row r="15" spans="1:4" ht="43.5" customHeight="1" x14ac:dyDescent="0.25">
      <c r="A15" s="23" t="s">
        <v>112</v>
      </c>
      <c r="B15" s="23" t="s">
        <v>91</v>
      </c>
      <c r="C15" s="26" t="s">
        <v>113</v>
      </c>
      <c r="D15" s="23" t="s">
        <v>114</v>
      </c>
    </row>
  </sheetData>
  <autoFilter ref="A1:D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A98A"/>
  </sheetPr>
  <dimension ref="B2:B14"/>
  <sheetViews>
    <sheetView showGridLines="0" tabSelected="1" zoomScaleNormal="100" workbookViewId="0">
      <selection activeCell="B3" sqref="B3"/>
    </sheetView>
  </sheetViews>
  <sheetFormatPr defaultColWidth="8.7109375" defaultRowHeight="15" x14ac:dyDescent="0.25"/>
  <cols>
    <col min="1" max="1" width="3" customWidth="1"/>
    <col min="2" max="2" width="100" customWidth="1"/>
  </cols>
  <sheetData>
    <row r="2" spans="2:2" ht="20.25" x14ac:dyDescent="0.3">
      <c r="B2" s="27" t="s">
        <v>0</v>
      </c>
    </row>
    <row r="3" spans="2:2" x14ac:dyDescent="0.25">
      <c r="B3" s="28"/>
    </row>
    <row r="5" spans="2:2" x14ac:dyDescent="0.25">
      <c r="B5" s="29" t="s">
        <v>115</v>
      </c>
    </row>
    <row r="6" spans="2:2" x14ac:dyDescent="0.25">
      <c r="B6" s="30" t="s">
        <v>116</v>
      </c>
    </row>
    <row r="7" spans="2:2" ht="25.5" x14ac:dyDescent="0.25">
      <c r="B7" s="30" t="s">
        <v>117</v>
      </c>
    </row>
    <row r="8" spans="2:2" x14ac:dyDescent="0.25">
      <c r="B8" s="30" t="s">
        <v>118</v>
      </c>
    </row>
    <row r="10" spans="2:2" x14ac:dyDescent="0.25">
      <c r="B10" s="29" t="s">
        <v>119</v>
      </c>
    </row>
    <row r="11" spans="2:2" ht="63.75" x14ac:dyDescent="0.25">
      <c r="B11" s="30" t="s">
        <v>120</v>
      </c>
    </row>
    <row r="13" spans="2:2" x14ac:dyDescent="0.25">
      <c r="B13" s="29" t="s">
        <v>121</v>
      </c>
    </row>
    <row r="14" spans="2:2" ht="38.25" x14ac:dyDescent="0.25">
      <c r="B14" s="30" t="s">
        <v>122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On-Page Recs</vt:lpstr>
      <vt:lpstr>Feature Page Indexability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shivani bajaj</cp:lastModifiedBy>
  <cp:revision>1</cp:revision>
  <dcterms:created xsi:type="dcterms:W3CDTF">2026-09-25T08:04:00Z</dcterms:created>
  <dcterms:modified xsi:type="dcterms:W3CDTF">2026-09-26T06:58:47Z</dcterms:modified>
  <dc:language>en-US</dc:language>
</cp:coreProperties>
</file>