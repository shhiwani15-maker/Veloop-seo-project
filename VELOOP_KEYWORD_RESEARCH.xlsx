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B03D557-2B98-4BF0-A2A6-B2366E97B748}" xr6:coauthVersionLast="47" xr6:coauthVersionMax="47" xr10:uidLastSave="{00000000-0000-0000-0000-000000000000}"/>
  <bookViews>
    <workbookView xWindow="-120" yWindow="-120" windowWidth="20730" windowHeight="11040" tabRatio="500" activeTab="3" xr2:uid="{00000000-000D-0000-FFFF-FFFF00000000}"/>
  </bookViews>
  <sheets>
    <sheet name="README" sheetId="1" r:id="rId1"/>
    <sheet name="Keyword Map" sheetId="2" r:id="rId2"/>
    <sheet name="FAQ Keyword Bank" sheetId="3" r:id="rId3"/>
    <sheet name="Brand Keywords" sheetId="4" r:id="rId4"/>
  </sheets>
  <definedNames>
    <definedName name="_xlnm._FilterDatabase" localSheetId="3" hidden="1">'Brand Keywords'!$A$1:$E$1</definedName>
    <definedName name="_xlnm._FilterDatabase" localSheetId="2" hidden="1">'FAQ Keyword Bank'!$A$1:$E$1</definedName>
    <definedName name="_xlnm._FilterDatabase" localSheetId="1" hidden="1">'Keyword Map'!$A$1:$I$1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8" i="2" l="1"/>
  <c r="B41" i="2"/>
  <c r="B40" i="2"/>
  <c r="B39" i="2"/>
</calcChain>
</file>

<file path=xl/sharedStrings.xml><?xml version="1.0" encoding="utf-8"?>
<sst xmlns="http://schemas.openxmlformats.org/spreadsheetml/2006/main" count="457" uniqueCount="220">
  <si>
    <t>VELoop Rewards — Keyword Research</t>
  </si>
  <si>
    <t>How this workbook is organised</t>
  </si>
  <si>
    <t>• Keyword Map — the full keyword list, grouped into Category A–E per the project brief, each with search intent, topic, priority and a recommended target page.</t>
  </si>
  <si>
    <t>• FAQ Keyword Bank — real question-style queries for the FAQ content strategy (brief Section 23).</t>
  </si>
  <si>
    <t>• Brand Keywords — branded-search terms and the page each should resolve to (brief Section 30).</t>
  </si>
  <si>
    <t>A note on Difficulty and Search Volume</t>
  </si>
  <si>
    <t>The brief is explicit: "Do not invent search-volume numbers." No paid keyword tool (Ahrefs, Semrush, Keyword Planner with account) was accessible for this pass, so both columns are marked "Needs tool pull" rather than filled with placeholder figures. Before this sheet goes to the content team, run the keyword list below through one of the free-tier tools listed in brief Section 34 — Google Trends (relative interest, free), Ubersuggest (free-tier volume, limited lookups/day), or Semrush/Ahrefs free features — and record the source next to each figure. Relative signal from a manual Google Trends and autocomplete pass is noted in the "Signal Notes" column where it was observed directly.</t>
  </si>
  <si>
    <t>Priority key</t>
  </si>
  <si>
    <t>High — strong, specific intent match to a VELoop feature or a high-funnel trust question; build first.</t>
  </si>
  <si>
    <t>Medium — real intent but broader or more competitive; build after High-priority pages/articles.</t>
  </si>
  <si>
    <t>Low — long-tail or unconfirmed demand; hold until volume is verified with a tool before committing content.</t>
  </si>
  <si>
    <t>Search intent definitions (brief Section 9)</t>
  </si>
  <si>
    <t>Informational — user wants an explanation ("how do reward platforms work").</t>
  </si>
  <si>
    <t>Navigational — user wants a specific brand/page ("VELoop Rewards login").</t>
  </si>
  <si>
    <t>Commercial Investigation — user is comparing options ("best reward platforms").</t>
  </si>
  <si>
    <t>Transactional — user is ready to act ("VELoop Rewards sign up").</t>
  </si>
  <si>
    <t>Methodology</t>
  </si>
  <si>
    <t>Keywords were built from three inputs: (1) the feature list and category examples in the project brief, (2) Google autocomplete and "People also ask" patterns for the closest comparable queries (rewards/GPT-platform terms), and (3) the FAQ and trust-content topics VELoop itself needs to answer (withdrawals, VEs, SVEs) based on the product audit in File 1. This is a starting map, not a final list — it should be pressure-tested against real volume data before content is commissioned at scale.</t>
  </si>
  <si>
    <t>Category</t>
  </si>
  <si>
    <t>Keyword</t>
  </si>
  <si>
    <t>Search Intent</t>
  </si>
  <si>
    <t>Topic</t>
  </si>
  <si>
    <t>Difficulty</t>
  </si>
  <si>
    <t>Search Volume*</t>
  </si>
  <si>
    <t>Signal Notes</t>
  </si>
  <si>
    <t>Priority</t>
  </si>
  <si>
    <t>Target Page</t>
  </si>
  <si>
    <t>A – Core</t>
  </si>
  <si>
    <t>rewards platform</t>
  </si>
  <si>
    <t>Commercial Investigation</t>
  </si>
  <si>
    <t>Rewards platform</t>
  </si>
  <si>
    <t>Needs tool pull</t>
  </si>
  <si>
    <t>Broad head term; high competition expected from Swagbucks/Toluna-class sites</t>
  </si>
  <si>
    <t>Medium</t>
  </si>
  <si>
    <t>Homepage</t>
  </si>
  <si>
    <t>online rewards platform</t>
  </si>
  <si>
    <t>Slightly more specific than above; good homepage/landing secondary target</t>
  </si>
  <si>
    <t>High</t>
  </si>
  <si>
    <t>earn rewards online</t>
  </si>
  <si>
    <t>Informational/Commercial</t>
  </si>
  <si>
    <t>Mixed intent — some users want an explainer, some want a platform to join</t>
  </si>
  <si>
    <t>Blog: How Reward Platforms Work</t>
  </si>
  <si>
    <t>rewards website</t>
  </si>
  <si>
    <t>Navigational/Commercial</t>
  </si>
  <si>
    <t>Shorter, likely higher volume, higher competition</t>
  </si>
  <si>
    <t>online earning rewards</t>
  </si>
  <si>
    <t>Close variant of "earn rewards online"; monitor for cannibalisation</t>
  </si>
  <si>
    <t>Low</t>
  </si>
  <si>
    <t>legit rewards platform</t>
  </si>
  <si>
    <t>Trust-qualifier queries convert well; pairs with trust-content cluster</t>
  </si>
  <si>
    <t>Trust/How It Works page</t>
  </si>
  <si>
    <t>free rewards platform</t>
  </si>
  <si>
    <t>"Free" qualifier common in this niche — no investment required is already in homepage meta</t>
  </si>
  <si>
    <t>B – Feature Intent</t>
  </si>
  <si>
    <t>watch ads and earn rewards</t>
  </si>
  <si>
    <t>Transactional</t>
  </si>
  <si>
    <t>Watch Ads &amp; Earn</t>
  </si>
  <si>
    <t>Direct match to current homepage title tag</t>
  </si>
  <si>
    <t>Watch Ads &amp; Earn landing page</t>
  </si>
  <si>
    <t>watch ads and earn money app</t>
  </si>
  <si>
    <t>App-intent variant; confirm whether VELoop has a mobile app before targeting</t>
  </si>
  <si>
    <t>refer and earn rewards</t>
  </si>
  <si>
    <t>Refer &amp; Earn</t>
  </si>
  <si>
    <t>Strong Category B term; no dedicated public page confirmed in File 1 audit</t>
  </si>
  <si>
    <t>Refer &amp; Earn landing page</t>
  </si>
  <si>
    <t>referral rewards program</t>
  </si>
  <si>
    <t>Slightly broader referral-intent query</t>
  </si>
  <si>
    <t>daily reward website</t>
  </si>
  <si>
    <t>Daily Rewards</t>
  </si>
  <si>
    <t>Direct match to Daily Rewards / Daily Streak features</t>
  </si>
  <si>
    <t>Daily Rewards landing page</t>
  </si>
  <si>
    <t>daily login rewards</t>
  </si>
  <si>
    <t>Common phrasing across gaming and rewards niches</t>
  </si>
  <si>
    <t>spin and win rewards</t>
  </si>
  <si>
    <t>Spin &amp; Win</t>
  </si>
  <si>
    <t>Direct feature match</t>
  </si>
  <si>
    <t>Spin &amp; Win landing page</t>
  </si>
  <si>
    <t>earn rewards by completing tasks</t>
  </si>
  <si>
    <t>Tasks</t>
  </si>
  <si>
    <t>Direct match to Tasks feature</t>
  </si>
  <si>
    <t>Tasks landing page</t>
  </si>
  <si>
    <t>online reward games</t>
  </si>
  <si>
    <t>Games</t>
  </si>
  <si>
    <t>Direct match to Games feature</t>
  </si>
  <si>
    <t>Games landing page</t>
  </si>
  <si>
    <t>play games and earn rewards</t>
  </si>
  <si>
    <t>Action-oriented variant of the above</t>
  </si>
  <si>
    <t>earn rewards without investment</t>
  </si>
  <si>
    <t>Echoes "no investment required" already used in homepage copy</t>
  </si>
  <si>
    <t>C – Informational</t>
  </si>
  <si>
    <t>how do reward platforms work</t>
  </si>
  <si>
    <t>Informational</t>
  </si>
  <si>
    <t>Top-of-funnel explainer; strong pillar-content candidate</t>
  </si>
  <si>
    <t>Blog: Complete Guide to Online Rewards Platforms (pillar)</t>
  </si>
  <si>
    <t>how to earn rewards online</t>
  </si>
  <si>
    <t>High-intent informational query feeding into feature pages</t>
  </si>
  <si>
    <t>Blog: How to Earn Rewards Online</t>
  </si>
  <si>
    <t>what are reward points</t>
  </si>
  <si>
    <t>Rewards/Points</t>
  </si>
  <si>
    <t>Directly answers a real VELoop mechanic (Gems/Tokens)</t>
  </si>
  <si>
    <t>Blog: What Are Reward Points</t>
  </si>
  <si>
    <t>how referral rewards work</t>
  </si>
  <si>
    <t>Feeds the Refer &amp; Earn cluster</t>
  </si>
  <si>
    <t>Blog: How Referral Rewards Work</t>
  </si>
  <si>
    <t>how to redeem reward points</t>
  </si>
  <si>
    <t>High-trust query — should link to Withdrawals guide</t>
  </si>
  <si>
    <t>Blog: How to Redeem Reward Points</t>
  </si>
  <si>
    <t>how do reward withdrawals work</t>
  </si>
  <si>
    <t>Withdrawals</t>
  </si>
  <si>
    <t>Directly maps to Wallet/Exchange Center — high trust value</t>
  </si>
  <si>
    <t>Blog/Trust: How Withdrawals Work</t>
  </si>
  <si>
    <t>what is a rewards platform</t>
  </si>
  <si>
    <t>Broadest informational entry point to the pillar cluster</t>
  </si>
  <si>
    <t>are reward platforms safe</t>
  </si>
  <si>
    <t>Trust</t>
  </si>
  <si>
    <t>Trust/safety query — important given zero current brand footprint (File 1, Section 3)</t>
  </si>
  <si>
    <t>Trust/FAQ page</t>
  </si>
  <si>
    <t>D – Comparison</t>
  </si>
  <si>
    <t>best reward platforms</t>
  </si>
  <si>
    <t>High-competition head term (Swagbucks, Freecash likely rank); realistic only as a long-term target</t>
  </si>
  <si>
    <t>Blog: Best Reward Platforms (comparison, once trust content exists)</t>
  </si>
  <si>
    <t>rewards websites for students</t>
  </si>
  <si>
    <t>Underserved audience angle — worth testing as a differentiated article</t>
  </si>
  <si>
    <t>Blog: Rewards Platforms for Students</t>
  </si>
  <si>
    <t>online earning platforms</t>
  </si>
  <si>
    <t>Broad comparison term, adjacent to core category</t>
  </si>
  <si>
    <t>reward apps comparison</t>
  </si>
  <si>
    <t>App-specific comparison intent; confirm app availability before targeting</t>
  </si>
  <si>
    <t>Blog: Reward Apps Comparison</t>
  </si>
  <si>
    <t>swagbucks alternatives</t>
  </si>
  <si>
    <t>Competitor-branded query; do not name competitors negatively — factual comparison only</t>
  </si>
  <si>
    <t>Blog: Rewards Platform Alternatives (handle carefully — see brief Section 12)</t>
  </si>
  <si>
    <t>E – Platform Terms</t>
  </si>
  <si>
    <t>what is VEs</t>
  </si>
  <si>
    <t>Platform mechanics</t>
  </si>
  <si>
    <t>Only VELoop can answer this — zero external competition, easy ranking opportunity</t>
  </si>
  <si>
    <t>Trust/FAQ: VEs Explained</t>
  </si>
  <si>
    <t>what is SVEs</t>
  </si>
  <si>
    <t>Same rationale as above</t>
  </si>
  <si>
    <t>Trust/FAQ: SVEs Explained</t>
  </si>
  <si>
    <t>VELoop exchange center</t>
  </si>
  <si>
    <t>Navigational</t>
  </si>
  <si>
    <t>Branded feature query — will only have demand once brand awareness grows</t>
  </si>
  <si>
    <t>Exchange Center landing/help page</t>
  </si>
  <si>
    <t>how do gems and tokens work</t>
  </si>
  <si>
    <t>Explains VELoop-specific currency mechanics</t>
  </si>
  <si>
    <t>Trust/FAQ: Gems &amp; Tokens Explained</t>
  </si>
  <si>
    <t>Total keywords mapped:</t>
  </si>
  <si>
    <t>High priority:</t>
  </si>
  <si>
    <t>Medium priority:</t>
  </si>
  <si>
    <t>Low priority:</t>
  </si>
  <si>
    <t>Question</t>
  </si>
  <si>
    <t>Maps to Feature</t>
  </si>
  <si>
    <t>Can VELoop Answer Accurately Today?</t>
  </si>
  <si>
    <t>What are reward points?</t>
  </si>
  <si>
    <t>Gems / Tokens</t>
  </si>
  <si>
    <t>Confirm with product team — needs exact conversion rules</t>
  </si>
  <si>
    <t>FAQ / What Are Reward Points</t>
  </si>
  <si>
    <t>How do referral rewards work?</t>
  </si>
  <si>
    <t>Confirm exact referral payout structure before publishing</t>
  </si>
  <si>
    <t>FAQ / Refer &amp; Earn guide</t>
  </si>
  <si>
    <t>How can I earn rewards online with VELoop?</t>
  </si>
  <si>
    <t>Multiple features</t>
  </si>
  <si>
    <t>Yes — overview of Watch Ads, Tasks, Games, Daily Rewards</t>
  </si>
  <si>
    <t>FAQ / How It Works</t>
  </si>
  <si>
    <t>How does a rewards platform work?</t>
  </si>
  <si>
    <t>General</t>
  </si>
  <si>
    <t>Yes — general/educational, no VELoop-specific claim needed</t>
  </si>
  <si>
    <t>Blog pillar guide</t>
  </si>
  <si>
    <t>How do reward withdrawals work?</t>
  </si>
  <si>
    <t>Wallet / Exchange Center</t>
  </si>
  <si>
    <t>Confirm minimum withdrawal, processing time, methods before publishing</t>
  </si>
  <si>
    <t>FAQ / Withdrawals</t>
  </si>
  <si>
    <t>What is VEs?</t>
  </si>
  <si>
    <t>Platform currency</t>
  </si>
  <si>
    <t>Confirm official definition/spelling with product team</t>
  </si>
  <si>
    <t>FAQ / VEs Explained</t>
  </si>
  <si>
    <t>What is SVEs?</t>
  </si>
  <si>
    <t>FAQ / SVEs Explained</t>
  </si>
  <si>
    <t>Is VELoop Rewards free to join?</t>
  </si>
  <si>
    <t>Confirm — likely yes, but must be verified, not assumed</t>
  </si>
  <si>
    <t>How long does it take to get paid?</t>
  </si>
  <si>
    <t>Wallet / Withdrawals</t>
  </si>
  <si>
    <t>Confirm actual processing time — do not estimate</t>
  </si>
  <si>
    <t>What payment methods does VELoop support?</t>
  </si>
  <si>
    <t>Wallet</t>
  </si>
  <si>
    <t>Confirm current list (homepage mentions PayPal/Paytm — verify still accurate)</t>
  </si>
  <si>
    <t>Is there a minimum age to join VELoop Rewards?</t>
  </si>
  <si>
    <t>General/Trust</t>
  </si>
  <si>
    <t>Confirm official policy before publishing</t>
  </si>
  <si>
    <t>FAQ / Terms &amp; Trust</t>
  </si>
  <si>
    <t>How does the Spin &amp; Win feature work?</t>
  </si>
  <si>
    <t>Yes — describe mechanics only, no guaranteed-outcome language</t>
  </si>
  <si>
    <t>FAQ / Spin &amp; Win</t>
  </si>
  <si>
    <t>Branded Keyword</t>
  </si>
  <si>
    <t>Should Resolve To</t>
  </si>
  <si>
    <t>Notes</t>
  </si>
  <si>
    <t>VELoop Rewards</t>
  </si>
  <si>
    <t>Critical</t>
  </si>
  <si>
    <t>Brand should own its own name in search once indexed — currently 0 results found (File 1, Section 3)</t>
  </si>
  <si>
    <t>VELoop</t>
  </si>
  <si>
    <t>Shorter brand variant — monitor for confusion with unrelated "Veloop" brands in other industries</t>
  </si>
  <si>
    <t>VELoop Rewards login</t>
  </si>
  <si>
    <t>Login page</t>
  </si>
  <si>
    <t>Make sure login page is crawlable/linked, not orphaned</t>
  </si>
  <si>
    <t>VELoop Rewards referral</t>
  </si>
  <si>
    <t>Ties brand search to a conversion-relevant page rather than just the homepage</t>
  </si>
  <si>
    <t>VELoop Rewards withdrawal</t>
  </si>
  <si>
    <t>Navigational/Informational</t>
  </si>
  <si>
    <t>Withdrawals FAQ page</t>
  </si>
  <si>
    <t>High-trust query — should not 404 or redirect to a generic page</t>
  </si>
  <si>
    <t>VELoop Rewards earning</t>
  </si>
  <si>
    <t>How It Works page</t>
  </si>
  <si>
    <t>Ties to "how to earn" trust content</t>
  </si>
  <si>
    <t>VELoop Rewards review</t>
  </si>
  <si>
    <t>Trust/FAQ page or genuine third-party reviews</t>
  </si>
  <si>
    <t>No reviews found in File 1 audit — this is currently unowned search real estate; do not fabricate reviews (brief Section 12 &amp; 37 prohibit fake reviews)</t>
  </si>
  <si>
    <t>is VELoop Rewards legit</t>
  </si>
  <si>
    <t>Direct trust query — pair with transparent, verifiable claims only</t>
  </si>
  <si>
    <t>File 2  ·  VELOOP_KEYWORD_RESEARCH.xlsx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</si>
</sst>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2233F"/>
      <name val="Arial"/>
      <charset val="1"/>
    </font>
    <font>
      <i/>
      <sz val="10.5"/>
      <color rgb="FF0E7C7B"/>
      <name val="Arial"/>
      <charset val="1"/>
    </font>
    <font>
      <b/>
      <sz val="11.5"/>
      <color rgb="FF12233F"/>
      <name val="Arial"/>
      <charset val="1"/>
    </font>
    <font>
      <sz val="10"/>
      <color rgb="FF22303C"/>
      <name val="Arial"/>
      <charset val="1"/>
    </font>
    <font>
      <b/>
      <sz val="10"/>
      <color rgb="FFFFFFFF"/>
      <name val="Arial"/>
      <charset val="1"/>
    </font>
    <font>
      <b/>
      <sz val="10"/>
      <color rgb="FF12233F"/>
      <name val="Arial"/>
      <charset val="1"/>
    </font>
    <font>
      <i/>
      <sz val="9"/>
      <color rgb="FF0E7C7B"/>
      <name val="Arial"/>
      <charset val="1"/>
    </font>
  </fonts>
  <fills count="10">
    <fill>
      <patternFill patternType="none"/>
    </fill>
    <fill>
      <patternFill patternType="gray125"/>
    </fill>
    <fill>
      <patternFill patternType="solid">
        <fgColor rgb="FF12233F"/>
        <bgColor rgb="FF22303C"/>
      </patternFill>
    </fill>
    <fill>
      <patternFill patternType="solid">
        <fgColor rgb="FFF2F6F7"/>
        <bgColor rgb="FFFFFFFF"/>
      </patternFill>
    </fill>
    <fill>
      <patternFill patternType="solid">
        <fgColor rgb="FFC99A1E"/>
        <bgColor rgb="FFD96C22"/>
      </patternFill>
    </fill>
    <fill>
      <patternFill patternType="solid">
        <fgColor rgb="FFD96C22"/>
        <bgColor rgb="FFC99A1E"/>
      </patternFill>
    </fill>
    <fill>
      <patternFill patternType="solid">
        <fgColor rgb="FF5B7B8C"/>
        <bgColor rgb="FF808080"/>
      </patternFill>
    </fill>
    <fill>
      <patternFill patternType="solid">
        <fgColor rgb="FFC0392B"/>
        <bgColor rgb="FF993366"/>
      </patternFill>
    </fill>
    <fill>
      <patternFill patternType="solid">
        <fgColor theme="3" tint="0.39997558519241921"/>
        <bgColor indexed="64"/>
      </patternFill>
    </fill>
    <fill>
      <patternFill patternType="solid">
        <fgColor theme="3" tint="0.79998168889431442"/>
        <bgColor indexed="64"/>
      </patternFill>
    </fill>
  </fills>
  <borders count="2">
    <border>
      <left/>
      <right/>
      <top/>
      <bottom/>
      <diagonal/>
    </border>
    <border>
      <left style="thin">
        <color rgb="FFD8DEE2"/>
      </left>
      <right style="thin">
        <color rgb="FFD8DEE2"/>
      </right>
      <top style="thin">
        <color rgb="FFD8DEE2"/>
      </top>
      <bottom style="thin">
        <color rgb="FFD8DEE2"/>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horizontal="center" vertical="center"/>
    </xf>
    <xf numFmtId="0" fontId="4" fillId="3" borderId="1" xfId="0" applyFont="1" applyFill="1" applyBorder="1" applyAlignment="1">
      <alignment horizontal="left" vertical="top" wrapText="1"/>
    </xf>
    <xf numFmtId="0" fontId="5" fillId="4" borderId="1" xfId="0" applyFont="1" applyFill="1" applyBorder="1" applyAlignment="1">
      <alignment horizontal="center" vertical="center"/>
    </xf>
    <xf numFmtId="0" fontId="4" fillId="0" borderId="1" xfId="0" applyFont="1" applyBorder="1" applyAlignment="1">
      <alignment horizontal="left" vertical="top" wrapText="1"/>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7" fillId="0" borderId="0" xfId="0" applyFont="1" applyAlignment="1">
      <alignment horizontal="left" vertical="top" wrapText="1"/>
    </xf>
    <xf numFmtId="0" fontId="6" fillId="8" borderId="0" xfId="0" applyFont="1" applyFill="1"/>
    <xf numFmtId="0" fontId="6" fillId="8" borderId="0" xfId="0" applyFont="1" applyFill="1" applyAlignment="1">
      <alignment horizontal="center"/>
    </xf>
    <xf numFmtId="0" fontId="6" fillId="9" borderId="0" xfId="0" applyFont="1" applyFill="1"/>
    <xf numFmtId="0" fontId="6" fillId="9" borderId="0" xfId="0" applyFont="1" applyFill="1" applyAlignment="1">
      <alignment horizontal="center"/>
    </xf>
    <xf numFmtId="0" fontId="4" fillId="3" borderId="1" xfId="0" applyFont="1" applyFill="1" applyBorder="1" applyAlignment="1">
      <alignment horizontal="center" vertical="top" wrapText="1"/>
    </xf>
    <xf numFmtId="0" fontId="4" fillId="0" borderId="1" xfId="0" applyFont="1" applyBorder="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C0C0C0"/>
      <rgbColor rgb="FF808080"/>
      <rgbColor rgb="FF9999FF"/>
      <rgbColor rgb="FF993366"/>
      <rgbColor rgb="FFF2F6F7"/>
      <rgbColor rgb="FFCCFFFF"/>
      <rgbColor rgb="FF660066"/>
      <rgbColor rgb="FFFF8080"/>
      <rgbColor rgb="FF0066CC"/>
      <rgbColor rgb="FFD8DE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9A1E"/>
      <rgbColor rgb="FFD96C22"/>
      <rgbColor rgb="FF5B7B8C"/>
      <rgbColor rgb="FF969696"/>
      <rgbColor rgb="FF12233F"/>
      <rgbColor rgb="FF339966"/>
      <rgbColor rgb="FF003300"/>
      <rgbColor rgb="FF333300"/>
      <rgbColor rgb="FFC0392B"/>
      <rgbColor rgb="FF993366"/>
      <rgbColor rgb="FF333399"/>
      <rgbColor rgb="FF2230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5"/>
  <sheetViews>
    <sheetView topLeftCell="A11" zoomScaleNormal="100" workbookViewId="0">
      <selection activeCell="B14" sqref="B14"/>
    </sheetView>
  </sheetViews>
  <sheetFormatPr defaultColWidth="8.7109375" defaultRowHeight="15" x14ac:dyDescent="0.25"/>
  <cols>
    <col min="1" max="1" width="3" customWidth="1"/>
    <col min="2" max="2" width="105" customWidth="1"/>
  </cols>
  <sheetData>
    <row r="2" spans="2:2" ht="20.25" x14ac:dyDescent="0.3">
      <c r="B2" s="1" t="s">
        <v>0</v>
      </c>
    </row>
    <row r="3" spans="2:2" x14ac:dyDescent="0.25">
      <c r="B3" s="2" t="s">
        <v>219</v>
      </c>
    </row>
    <row r="5" spans="2:2" x14ac:dyDescent="0.25">
      <c r="B5" s="3" t="s">
        <v>1</v>
      </c>
    </row>
    <row r="6" spans="2:2" ht="25.5" x14ac:dyDescent="0.25">
      <c r="B6" s="4" t="s">
        <v>2</v>
      </c>
    </row>
    <row r="7" spans="2:2" x14ac:dyDescent="0.25">
      <c r="B7" s="4" t="s">
        <v>3</v>
      </c>
    </row>
    <row r="8" spans="2:2" x14ac:dyDescent="0.25">
      <c r="B8" s="4" t="s">
        <v>4</v>
      </c>
    </row>
    <row r="10" spans="2:2" x14ac:dyDescent="0.25">
      <c r="B10" s="3" t="s">
        <v>5</v>
      </c>
    </row>
    <row r="11" spans="2:2" ht="76.5" x14ac:dyDescent="0.25">
      <c r="B11" s="4" t="s">
        <v>6</v>
      </c>
    </row>
    <row r="13" spans="2:2" x14ac:dyDescent="0.25">
      <c r="B13" s="3" t="s">
        <v>7</v>
      </c>
    </row>
    <row r="14" spans="2:2" x14ac:dyDescent="0.25">
      <c r="B14" s="4" t="s">
        <v>8</v>
      </c>
    </row>
    <row r="15" spans="2:2" x14ac:dyDescent="0.25">
      <c r="B15" s="4" t="s">
        <v>9</v>
      </c>
    </row>
    <row r="16" spans="2:2" x14ac:dyDescent="0.25">
      <c r="B16" s="4" t="s">
        <v>10</v>
      </c>
    </row>
    <row r="18" spans="2:2" x14ac:dyDescent="0.25">
      <c r="B18" s="3" t="s">
        <v>11</v>
      </c>
    </row>
    <row r="19" spans="2:2" x14ac:dyDescent="0.25">
      <c r="B19" s="4" t="s">
        <v>12</v>
      </c>
    </row>
    <row r="20" spans="2:2" x14ac:dyDescent="0.25">
      <c r="B20" s="4" t="s">
        <v>13</v>
      </c>
    </row>
    <row r="21" spans="2:2" x14ac:dyDescent="0.25">
      <c r="B21" s="4" t="s">
        <v>14</v>
      </c>
    </row>
    <row r="22" spans="2:2" x14ac:dyDescent="0.25">
      <c r="B22" s="4" t="s">
        <v>15</v>
      </c>
    </row>
    <row r="24" spans="2:2" x14ac:dyDescent="0.25">
      <c r="B24" s="3" t="s">
        <v>16</v>
      </c>
    </row>
    <row r="25" spans="2:2" ht="63.75" x14ac:dyDescent="0.25">
      <c r="B25" s="4"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zoomScaleNormal="100" workbookViewId="0">
      <pane ySplit="1" topLeftCell="A30" activePane="bottomLeft" state="frozen"/>
      <selection pane="bottomLeft" activeCell="I1" sqref="I1:I1048576"/>
    </sheetView>
  </sheetViews>
  <sheetFormatPr defaultColWidth="8.7109375" defaultRowHeight="15" x14ac:dyDescent="0.25"/>
  <cols>
    <col min="1" max="1" width="23" customWidth="1"/>
    <col min="2" max="2" width="34" customWidth="1"/>
    <col min="3" max="3" width="19.7109375" bestFit="1" customWidth="1"/>
    <col min="4" max="4" width="16" customWidth="1"/>
    <col min="5" max="5" width="14" customWidth="1"/>
    <col min="6" max="6" width="16" customWidth="1"/>
    <col min="7" max="7" width="34" customWidth="1"/>
    <col min="8" max="8" width="10" customWidth="1"/>
    <col min="9" max="9" width="22" style="19" customWidth="1"/>
  </cols>
  <sheetData>
    <row r="1" spans="1:9" ht="19.5" customHeight="1" x14ac:dyDescent="0.25">
      <c r="A1" s="5" t="s">
        <v>18</v>
      </c>
      <c r="B1" s="5" t="s">
        <v>19</v>
      </c>
      <c r="C1" s="5" t="s">
        <v>20</v>
      </c>
      <c r="D1" s="5" t="s">
        <v>21</v>
      </c>
      <c r="E1" s="5" t="s">
        <v>22</v>
      </c>
      <c r="F1" s="5" t="s">
        <v>23</v>
      </c>
      <c r="G1" s="5" t="s">
        <v>24</v>
      </c>
      <c r="H1" s="5" t="s">
        <v>25</v>
      </c>
      <c r="I1" s="5" t="s">
        <v>26</v>
      </c>
    </row>
    <row r="2" spans="1:9" ht="38.25" x14ac:dyDescent="0.25">
      <c r="A2" s="6" t="s">
        <v>27</v>
      </c>
      <c r="B2" s="6" t="s">
        <v>28</v>
      </c>
      <c r="C2" s="6" t="s">
        <v>29</v>
      </c>
      <c r="D2" s="6" t="s">
        <v>30</v>
      </c>
      <c r="E2" s="6" t="s">
        <v>31</v>
      </c>
      <c r="F2" s="6" t="s">
        <v>31</v>
      </c>
      <c r="G2" s="6" t="s">
        <v>32</v>
      </c>
      <c r="H2" s="7" t="s">
        <v>33</v>
      </c>
      <c r="I2" s="17" t="s">
        <v>34</v>
      </c>
    </row>
    <row r="3" spans="1:9" ht="38.25" x14ac:dyDescent="0.25">
      <c r="A3" s="8" t="s">
        <v>27</v>
      </c>
      <c r="B3" s="8" t="s">
        <v>35</v>
      </c>
      <c r="C3" s="8" t="s">
        <v>29</v>
      </c>
      <c r="D3" s="8" t="s">
        <v>30</v>
      </c>
      <c r="E3" s="8" t="s">
        <v>31</v>
      </c>
      <c r="F3" s="8" t="s">
        <v>31</v>
      </c>
      <c r="G3" s="8" t="s">
        <v>36</v>
      </c>
      <c r="H3" s="9" t="s">
        <v>37</v>
      </c>
      <c r="I3" s="18" t="s">
        <v>34</v>
      </c>
    </row>
    <row r="4" spans="1:9" ht="25.5" x14ac:dyDescent="0.25">
      <c r="A4" s="6" t="s">
        <v>27</v>
      </c>
      <c r="B4" s="6" t="s">
        <v>38</v>
      </c>
      <c r="C4" s="6" t="s">
        <v>39</v>
      </c>
      <c r="D4" s="6" t="s">
        <v>30</v>
      </c>
      <c r="E4" s="6" t="s">
        <v>31</v>
      </c>
      <c r="F4" s="6" t="s">
        <v>31</v>
      </c>
      <c r="G4" s="6" t="s">
        <v>40</v>
      </c>
      <c r="H4" s="9" t="s">
        <v>37</v>
      </c>
      <c r="I4" s="17" t="s">
        <v>41</v>
      </c>
    </row>
    <row r="5" spans="1:9" ht="25.5" x14ac:dyDescent="0.25">
      <c r="A5" s="8" t="s">
        <v>27</v>
      </c>
      <c r="B5" s="8" t="s">
        <v>42</v>
      </c>
      <c r="C5" s="8" t="s">
        <v>43</v>
      </c>
      <c r="D5" s="8" t="s">
        <v>30</v>
      </c>
      <c r="E5" s="8" t="s">
        <v>31</v>
      </c>
      <c r="F5" s="8" t="s">
        <v>31</v>
      </c>
      <c r="G5" s="8" t="s">
        <v>44</v>
      </c>
      <c r="H5" s="7" t="s">
        <v>33</v>
      </c>
      <c r="I5" s="18" t="s">
        <v>34</v>
      </c>
    </row>
    <row r="6" spans="1:9" ht="25.5" x14ac:dyDescent="0.25">
      <c r="A6" s="6" t="s">
        <v>27</v>
      </c>
      <c r="B6" s="6" t="s">
        <v>45</v>
      </c>
      <c r="C6" s="6" t="s">
        <v>29</v>
      </c>
      <c r="D6" s="6" t="s">
        <v>30</v>
      </c>
      <c r="E6" s="6" t="s">
        <v>31</v>
      </c>
      <c r="F6" s="6" t="s">
        <v>31</v>
      </c>
      <c r="G6" s="6" t="s">
        <v>46</v>
      </c>
      <c r="H6" s="10" t="s">
        <v>47</v>
      </c>
      <c r="I6" s="17" t="s">
        <v>34</v>
      </c>
    </row>
    <row r="7" spans="1:9" ht="25.5" x14ac:dyDescent="0.25">
      <c r="A7" s="8" t="s">
        <v>27</v>
      </c>
      <c r="B7" s="8" t="s">
        <v>48</v>
      </c>
      <c r="C7" s="8" t="s">
        <v>29</v>
      </c>
      <c r="D7" s="8" t="s">
        <v>30</v>
      </c>
      <c r="E7" s="8" t="s">
        <v>31</v>
      </c>
      <c r="F7" s="8" t="s">
        <v>31</v>
      </c>
      <c r="G7" s="8" t="s">
        <v>49</v>
      </c>
      <c r="H7" s="9" t="s">
        <v>37</v>
      </c>
      <c r="I7" s="18" t="s">
        <v>50</v>
      </c>
    </row>
    <row r="8" spans="1:9" ht="38.25" x14ac:dyDescent="0.25">
      <c r="A8" s="6" t="s">
        <v>27</v>
      </c>
      <c r="B8" s="6" t="s">
        <v>51</v>
      </c>
      <c r="C8" s="6" t="s">
        <v>29</v>
      </c>
      <c r="D8" s="6" t="s">
        <v>30</v>
      </c>
      <c r="E8" s="6" t="s">
        <v>31</v>
      </c>
      <c r="F8" s="6" t="s">
        <v>31</v>
      </c>
      <c r="G8" s="6" t="s">
        <v>52</v>
      </c>
      <c r="H8" s="7" t="s">
        <v>33</v>
      </c>
      <c r="I8" s="17" t="s">
        <v>34</v>
      </c>
    </row>
    <row r="9" spans="1:9" ht="25.5" x14ac:dyDescent="0.25">
      <c r="A9" s="8" t="s">
        <v>53</v>
      </c>
      <c r="B9" s="8" t="s">
        <v>54</v>
      </c>
      <c r="C9" s="8" t="s">
        <v>55</v>
      </c>
      <c r="D9" s="8" t="s">
        <v>56</v>
      </c>
      <c r="E9" s="8" t="s">
        <v>31</v>
      </c>
      <c r="F9" s="8" t="s">
        <v>31</v>
      </c>
      <c r="G9" s="8" t="s">
        <v>57</v>
      </c>
      <c r="H9" s="9" t="s">
        <v>37</v>
      </c>
      <c r="I9" s="18" t="s">
        <v>58</v>
      </c>
    </row>
    <row r="10" spans="1:9" ht="38.25" x14ac:dyDescent="0.25">
      <c r="A10" s="6" t="s">
        <v>53</v>
      </c>
      <c r="B10" s="6" t="s">
        <v>59</v>
      </c>
      <c r="C10" s="6" t="s">
        <v>29</v>
      </c>
      <c r="D10" s="6" t="s">
        <v>56</v>
      </c>
      <c r="E10" s="6" t="s">
        <v>31</v>
      </c>
      <c r="F10" s="6" t="s">
        <v>31</v>
      </c>
      <c r="G10" s="6" t="s">
        <v>60</v>
      </c>
      <c r="H10" s="7" t="s">
        <v>33</v>
      </c>
      <c r="I10" s="17" t="s">
        <v>58</v>
      </c>
    </row>
    <row r="11" spans="1:9" ht="33.75" customHeight="1" x14ac:dyDescent="0.25">
      <c r="A11" s="8" t="s">
        <v>53</v>
      </c>
      <c r="B11" s="8" t="s">
        <v>61</v>
      </c>
      <c r="C11" s="8" t="s">
        <v>55</v>
      </c>
      <c r="D11" s="8" t="s">
        <v>62</v>
      </c>
      <c r="E11" s="8" t="s">
        <v>31</v>
      </c>
      <c r="F11" s="8" t="s">
        <v>31</v>
      </c>
      <c r="G11" s="8" t="s">
        <v>63</v>
      </c>
      <c r="H11" s="9" t="s">
        <v>37</v>
      </c>
      <c r="I11" s="18" t="s">
        <v>64</v>
      </c>
    </row>
    <row r="12" spans="1:9" ht="33.75" customHeight="1" x14ac:dyDescent="0.25">
      <c r="A12" s="6" t="s">
        <v>53</v>
      </c>
      <c r="B12" s="6" t="s">
        <v>65</v>
      </c>
      <c r="C12" s="6" t="s">
        <v>29</v>
      </c>
      <c r="D12" s="6" t="s">
        <v>62</v>
      </c>
      <c r="E12" s="6" t="s">
        <v>31</v>
      </c>
      <c r="F12" s="6" t="s">
        <v>31</v>
      </c>
      <c r="G12" s="6" t="s">
        <v>66</v>
      </c>
      <c r="H12" s="7" t="s">
        <v>33</v>
      </c>
      <c r="I12" s="17" t="s">
        <v>64</v>
      </c>
    </row>
    <row r="13" spans="1:9" ht="33.75" customHeight="1" x14ac:dyDescent="0.25">
      <c r="A13" s="8" t="s">
        <v>53</v>
      </c>
      <c r="B13" s="8" t="s">
        <v>67</v>
      </c>
      <c r="C13" s="8" t="s">
        <v>55</v>
      </c>
      <c r="D13" s="8" t="s">
        <v>68</v>
      </c>
      <c r="E13" s="8" t="s">
        <v>31</v>
      </c>
      <c r="F13" s="8" t="s">
        <v>31</v>
      </c>
      <c r="G13" s="8" t="s">
        <v>69</v>
      </c>
      <c r="H13" s="9" t="s">
        <v>37</v>
      </c>
      <c r="I13" s="18" t="s">
        <v>70</v>
      </c>
    </row>
    <row r="14" spans="1:9" ht="33.75" customHeight="1" x14ac:dyDescent="0.25">
      <c r="A14" s="6" t="s">
        <v>53</v>
      </c>
      <c r="B14" s="6" t="s">
        <v>71</v>
      </c>
      <c r="C14" s="6" t="s">
        <v>39</v>
      </c>
      <c r="D14" s="6" t="s">
        <v>68</v>
      </c>
      <c r="E14" s="6" t="s">
        <v>31</v>
      </c>
      <c r="F14" s="6" t="s">
        <v>31</v>
      </c>
      <c r="G14" s="6" t="s">
        <v>72</v>
      </c>
      <c r="H14" s="7" t="s">
        <v>33</v>
      </c>
      <c r="I14" s="17" t="s">
        <v>70</v>
      </c>
    </row>
    <row r="15" spans="1:9" ht="33.75" customHeight="1" x14ac:dyDescent="0.25">
      <c r="A15" s="8" t="s">
        <v>53</v>
      </c>
      <c r="B15" s="8" t="s">
        <v>73</v>
      </c>
      <c r="C15" s="8" t="s">
        <v>55</v>
      </c>
      <c r="D15" s="8" t="s">
        <v>74</v>
      </c>
      <c r="E15" s="8" t="s">
        <v>31</v>
      </c>
      <c r="F15" s="8" t="s">
        <v>31</v>
      </c>
      <c r="G15" s="8" t="s">
        <v>75</v>
      </c>
      <c r="H15" s="9" t="s">
        <v>37</v>
      </c>
      <c r="I15" s="18" t="s">
        <v>76</v>
      </c>
    </row>
    <row r="16" spans="1:9" ht="33.75" customHeight="1" x14ac:dyDescent="0.25">
      <c r="A16" s="6" t="s">
        <v>53</v>
      </c>
      <c r="B16" s="6" t="s">
        <v>77</v>
      </c>
      <c r="C16" s="6" t="s">
        <v>55</v>
      </c>
      <c r="D16" s="6" t="s">
        <v>78</v>
      </c>
      <c r="E16" s="6" t="s">
        <v>31</v>
      </c>
      <c r="F16" s="6" t="s">
        <v>31</v>
      </c>
      <c r="G16" s="6" t="s">
        <v>79</v>
      </c>
      <c r="H16" s="9" t="s">
        <v>37</v>
      </c>
      <c r="I16" s="17" t="s">
        <v>80</v>
      </c>
    </row>
    <row r="17" spans="1:9" ht="33.75" customHeight="1" x14ac:dyDescent="0.25">
      <c r="A17" s="8" t="s">
        <v>53</v>
      </c>
      <c r="B17" s="8" t="s">
        <v>81</v>
      </c>
      <c r="C17" s="8" t="s">
        <v>29</v>
      </c>
      <c r="D17" s="8" t="s">
        <v>82</v>
      </c>
      <c r="E17" s="8" t="s">
        <v>31</v>
      </c>
      <c r="F17" s="8" t="s">
        <v>31</v>
      </c>
      <c r="G17" s="8" t="s">
        <v>83</v>
      </c>
      <c r="H17" s="7" t="s">
        <v>33</v>
      </c>
      <c r="I17" s="18" t="s">
        <v>84</v>
      </c>
    </row>
    <row r="18" spans="1:9" ht="33.75" customHeight="1" x14ac:dyDescent="0.25">
      <c r="A18" s="6" t="s">
        <v>53</v>
      </c>
      <c r="B18" s="6" t="s">
        <v>85</v>
      </c>
      <c r="C18" s="6" t="s">
        <v>55</v>
      </c>
      <c r="D18" s="6" t="s">
        <v>82</v>
      </c>
      <c r="E18" s="6" t="s">
        <v>31</v>
      </c>
      <c r="F18" s="6" t="s">
        <v>31</v>
      </c>
      <c r="G18" s="6" t="s">
        <v>86</v>
      </c>
      <c r="H18" s="7" t="s">
        <v>33</v>
      </c>
      <c r="I18" s="17" t="s">
        <v>84</v>
      </c>
    </row>
    <row r="19" spans="1:9" ht="33.75" customHeight="1" x14ac:dyDescent="0.25">
      <c r="A19" s="8" t="s">
        <v>53</v>
      </c>
      <c r="B19" s="8" t="s">
        <v>87</v>
      </c>
      <c r="C19" s="8" t="s">
        <v>55</v>
      </c>
      <c r="D19" s="8" t="s">
        <v>30</v>
      </c>
      <c r="E19" s="8" t="s">
        <v>31</v>
      </c>
      <c r="F19" s="8" t="s">
        <v>31</v>
      </c>
      <c r="G19" s="8" t="s">
        <v>88</v>
      </c>
      <c r="H19" s="7" t="s">
        <v>33</v>
      </c>
      <c r="I19" s="18" t="s">
        <v>34</v>
      </c>
    </row>
    <row r="20" spans="1:9" ht="33.75" customHeight="1" x14ac:dyDescent="0.25">
      <c r="A20" s="6" t="s">
        <v>89</v>
      </c>
      <c r="B20" s="6" t="s">
        <v>90</v>
      </c>
      <c r="C20" s="6" t="s">
        <v>91</v>
      </c>
      <c r="D20" s="6" t="s">
        <v>30</v>
      </c>
      <c r="E20" s="6" t="s">
        <v>31</v>
      </c>
      <c r="F20" s="6" t="s">
        <v>31</v>
      </c>
      <c r="G20" s="6" t="s">
        <v>92</v>
      </c>
      <c r="H20" s="9" t="s">
        <v>37</v>
      </c>
      <c r="I20" s="17" t="s">
        <v>93</v>
      </c>
    </row>
    <row r="21" spans="1:9" ht="33.75" customHeight="1" x14ac:dyDescent="0.25">
      <c r="A21" s="8" t="s">
        <v>89</v>
      </c>
      <c r="B21" s="8" t="s">
        <v>94</v>
      </c>
      <c r="C21" s="8" t="s">
        <v>91</v>
      </c>
      <c r="D21" s="8" t="s">
        <v>30</v>
      </c>
      <c r="E21" s="8" t="s">
        <v>31</v>
      </c>
      <c r="F21" s="8" t="s">
        <v>31</v>
      </c>
      <c r="G21" s="8" t="s">
        <v>95</v>
      </c>
      <c r="H21" s="9" t="s">
        <v>37</v>
      </c>
      <c r="I21" s="18" t="s">
        <v>96</v>
      </c>
    </row>
    <row r="22" spans="1:9" ht="33.75" customHeight="1" x14ac:dyDescent="0.25">
      <c r="A22" s="6" t="s">
        <v>89</v>
      </c>
      <c r="B22" s="6" t="s">
        <v>97</v>
      </c>
      <c r="C22" s="6" t="s">
        <v>91</v>
      </c>
      <c r="D22" s="6" t="s">
        <v>98</v>
      </c>
      <c r="E22" s="6" t="s">
        <v>31</v>
      </c>
      <c r="F22" s="6" t="s">
        <v>31</v>
      </c>
      <c r="G22" s="6" t="s">
        <v>99</v>
      </c>
      <c r="H22" s="9" t="s">
        <v>37</v>
      </c>
      <c r="I22" s="17" t="s">
        <v>100</v>
      </c>
    </row>
    <row r="23" spans="1:9" ht="33.75" customHeight="1" x14ac:dyDescent="0.25">
      <c r="A23" s="8" t="s">
        <v>89</v>
      </c>
      <c r="B23" s="8" t="s">
        <v>101</v>
      </c>
      <c r="C23" s="8" t="s">
        <v>91</v>
      </c>
      <c r="D23" s="8" t="s">
        <v>62</v>
      </c>
      <c r="E23" s="8" t="s">
        <v>31</v>
      </c>
      <c r="F23" s="8" t="s">
        <v>31</v>
      </c>
      <c r="G23" s="8" t="s">
        <v>102</v>
      </c>
      <c r="H23" s="9" t="s">
        <v>37</v>
      </c>
      <c r="I23" s="18" t="s">
        <v>103</v>
      </c>
    </row>
    <row r="24" spans="1:9" ht="33.75" customHeight="1" x14ac:dyDescent="0.25">
      <c r="A24" s="6" t="s">
        <v>89</v>
      </c>
      <c r="B24" s="6" t="s">
        <v>104</v>
      </c>
      <c r="C24" s="6" t="s">
        <v>91</v>
      </c>
      <c r="D24" s="6" t="s">
        <v>98</v>
      </c>
      <c r="E24" s="6" t="s">
        <v>31</v>
      </c>
      <c r="F24" s="6" t="s">
        <v>31</v>
      </c>
      <c r="G24" s="6" t="s">
        <v>105</v>
      </c>
      <c r="H24" s="9" t="s">
        <v>37</v>
      </c>
      <c r="I24" s="17" t="s">
        <v>106</v>
      </c>
    </row>
    <row r="25" spans="1:9" ht="33.75" customHeight="1" x14ac:dyDescent="0.25">
      <c r="A25" s="8" t="s">
        <v>89</v>
      </c>
      <c r="B25" s="8" t="s">
        <v>107</v>
      </c>
      <c r="C25" s="8" t="s">
        <v>91</v>
      </c>
      <c r="D25" s="8" t="s">
        <v>108</v>
      </c>
      <c r="E25" s="8" t="s">
        <v>31</v>
      </c>
      <c r="F25" s="8" t="s">
        <v>31</v>
      </c>
      <c r="G25" s="8" t="s">
        <v>109</v>
      </c>
      <c r="H25" s="9" t="s">
        <v>37</v>
      </c>
      <c r="I25" s="18" t="s">
        <v>110</v>
      </c>
    </row>
    <row r="26" spans="1:9" ht="33.75" customHeight="1" x14ac:dyDescent="0.25">
      <c r="A26" s="6" t="s">
        <v>89</v>
      </c>
      <c r="B26" s="6" t="s">
        <v>111</v>
      </c>
      <c r="C26" s="6" t="s">
        <v>91</v>
      </c>
      <c r="D26" s="6" t="s">
        <v>30</v>
      </c>
      <c r="E26" s="6" t="s">
        <v>31</v>
      </c>
      <c r="F26" s="6" t="s">
        <v>31</v>
      </c>
      <c r="G26" s="6" t="s">
        <v>112</v>
      </c>
      <c r="H26" s="7" t="s">
        <v>33</v>
      </c>
      <c r="I26" s="17" t="s">
        <v>93</v>
      </c>
    </row>
    <row r="27" spans="1:9" ht="38.25" x14ac:dyDescent="0.25">
      <c r="A27" s="8" t="s">
        <v>89</v>
      </c>
      <c r="B27" s="8" t="s">
        <v>113</v>
      </c>
      <c r="C27" s="8" t="s">
        <v>91</v>
      </c>
      <c r="D27" s="8" t="s">
        <v>114</v>
      </c>
      <c r="E27" s="8" t="s">
        <v>31</v>
      </c>
      <c r="F27" s="8" t="s">
        <v>31</v>
      </c>
      <c r="G27" s="8" t="s">
        <v>115</v>
      </c>
      <c r="H27" s="9" t="s">
        <v>37</v>
      </c>
      <c r="I27" s="18" t="s">
        <v>116</v>
      </c>
    </row>
    <row r="28" spans="1:9" ht="45" customHeight="1" x14ac:dyDescent="0.25">
      <c r="A28" s="6" t="s">
        <v>117</v>
      </c>
      <c r="B28" s="6" t="s">
        <v>118</v>
      </c>
      <c r="C28" s="6" t="s">
        <v>29</v>
      </c>
      <c r="D28" s="6" t="s">
        <v>30</v>
      </c>
      <c r="E28" s="6" t="s">
        <v>31</v>
      </c>
      <c r="F28" s="6" t="s">
        <v>31</v>
      </c>
      <c r="G28" s="6" t="s">
        <v>119</v>
      </c>
      <c r="H28" s="10" t="s">
        <v>47</v>
      </c>
      <c r="I28" s="17" t="s">
        <v>120</v>
      </c>
    </row>
    <row r="29" spans="1:9" ht="33.75" customHeight="1" x14ac:dyDescent="0.25">
      <c r="A29" s="8" t="s">
        <v>117</v>
      </c>
      <c r="B29" s="8" t="s">
        <v>121</v>
      </c>
      <c r="C29" s="8" t="s">
        <v>29</v>
      </c>
      <c r="D29" s="8" t="s">
        <v>30</v>
      </c>
      <c r="E29" s="8" t="s">
        <v>31</v>
      </c>
      <c r="F29" s="8" t="s">
        <v>31</v>
      </c>
      <c r="G29" s="8" t="s">
        <v>122</v>
      </c>
      <c r="H29" s="7" t="s">
        <v>33</v>
      </c>
      <c r="I29" s="18" t="s">
        <v>123</v>
      </c>
    </row>
    <row r="30" spans="1:9" ht="33.75" customHeight="1" x14ac:dyDescent="0.25">
      <c r="A30" s="6" t="s">
        <v>117</v>
      </c>
      <c r="B30" s="6" t="s">
        <v>124</v>
      </c>
      <c r="C30" s="6" t="s">
        <v>29</v>
      </c>
      <c r="D30" s="6" t="s">
        <v>30</v>
      </c>
      <c r="E30" s="6" t="s">
        <v>31</v>
      </c>
      <c r="F30" s="6" t="s">
        <v>31</v>
      </c>
      <c r="G30" s="6" t="s">
        <v>125</v>
      </c>
      <c r="H30" s="7" t="s">
        <v>33</v>
      </c>
      <c r="I30" s="17" t="s">
        <v>93</v>
      </c>
    </row>
    <row r="31" spans="1:9" ht="33.75" customHeight="1" x14ac:dyDescent="0.25">
      <c r="A31" s="8" t="s">
        <v>117</v>
      </c>
      <c r="B31" s="8" t="s">
        <v>126</v>
      </c>
      <c r="C31" s="8" t="s">
        <v>29</v>
      </c>
      <c r="D31" s="8" t="s">
        <v>30</v>
      </c>
      <c r="E31" s="8" t="s">
        <v>31</v>
      </c>
      <c r="F31" s="8" t="s">
        <v>31</v>
      </c>
      <c r="G31" s="8" t="s">
        <v>127</v>
      </c>
      <c r="H31" s="10" t="s">
        <v>47</v>
      </c>
      <c r="I31" s="18" t="s">
        <v>128</v>
      </c>
    </row>
    <row r="32" spans="1:9" ht="41.25" customHeight="1" x14ac:dyDescent="0.25">
      <c r="A32" s="6" t="s">
        <v>117</v>
      </c>
      <c r="B32" s="6" t="s">
        <v>129</v>
      </c>
      <c r="C32" s="6" t="s">
        <v>29</v>
      </c>
      <c r="D32" s="6" t="s">
        <v>30</v>
      </c>
      <c r="E32" s="6" t="s">
        <v>31</v>
      </c>
      <c r="F32" s="6" t="s">
        <v>31</v>
      </c>
      <c r="G32" s="6" t="s">
        <v>130</v>
      </c>
      <c r="H32" s="10" t="s">
        <v>47</v>
      </c>
      <c r="I32" s="17" t="s">
        <v>131</v>
      </c>
    </row>
    <row r="33" spans="1:9" ht="42" customHeight="1" x14ac:dyDescent="0.25">
      <c r="A33" s="8" t="s">
        <v>132</v>
      </c>
      <c r="B33" s="8" t="s">
        <v>133</v>
      </c>
      <c r="C33" s="8" t="s">
        <v>91</v>
      </c>
      <c r="D33" s="8" t="s">
        <v>134</v>
      </c>
      <c r="E33" s="8" t="s">
        <v>31</v>
      </c>
      <c r="F33" s="8" t="s">
        <v>31</v>
      </c>
      <c r="G33" s="8" t="s">
        <v>135</v>
      </c>
      <c r="H33" s="9" t="s">
        <v>37</v>
      </c>
      <c r="I33" s="18" t="s">
        <v>136</v>
      </c>
    </row>
    <row r="34" spans="1:9" ht="33.75" customHeight="1" x14ac:dyDescent="0.25">
      <c r="A34" s="6" t="s">
        <v>132</v>
      </c>
      <c r="B34" s="6" t="s">
        <v>137</v>
      </c>
      <c r="C34" s="6" t="s">
        <v>91</v>
      </c>
      <c r="D34" s="6" t="s">
        <v>134</v>
      </c>
      <c r="E34" s="6" t="s">
        <v>31</v>
      </c>
      <c r="F34" s="6" t="s">
        <v>31</v>
      </c>
      <c r="G34" s="6" t="s">
        <v>138</v>
      </c>
      <c r="H34" s="9" t="s">
        <v>37</v>
      </c>
      <c r="I34" s="17" t="s">
        <v>139</v>
      </c>
    </row>
    <row r="35" spans="1:9" ht="33.75" customHeight="1" x14ac:dyDescent="0.25">
      <c r="A35" s="8" t="s">
        <v>132</v>
      </c>
      <c r="B35" s="8" t="s">
        <v>140</v>
      </c>
      <c r="C35" s="8" t="s">
        <v>141</v>
      </c>
      <c r="D35" s="8" t="s">
        <v>134</v>
      </c>
      <c r="E35" s="8" t="s">
        <v>31</v>
      </c>
      <c r="F35" s="8" t="s">
        <v>31</v>
      </c>
      <c r="G35" s="8" t="s">
        <v>142</v>
      </c>
      <c r="H35" s="10" t="s">
        <v>47</v>
      </c>
      <c r="I35" s="18" t="s">
        <v>143</v>
      </c>
    </row>
    <row r="36" spans="1:9" ht="33.75" customHeight="1" x14ac:dyDescent="0.25">
      <c r="A36" s="6" t="s">
        <v>132</v>
      </c>
      <c r="B36" s="6" t="s">
        <v>144</v>
      </c>
      <c r="C36" s="6" t="s">
        <v>91</v>
      </c>
      <c r="D36" s="6" t="s">
        <v>134</v>
      </c>
      <c r="E36" s="6" t="s">
        <v>31</v>
      </c>
      <c r="F36" s="6" t="s">
        <v>31</v>
      </c>
      <c r="G36" s="6" t="s">
        <v>145</v>
      </c>
      <c r="H36" s="7" t="s">
        <v>33</v>
      </c>
      <c r="I36" s="17" t="s">
        <v>146</v>
      </c>
    </row>
    <row r="38" spans="1:9" x14ac:dyDescent="0.25">
      <c r="A38" s="13" t="s">
        <v>147</v>
      </c>
      <c r="B38" s="14">
        <f>COUNTA(B2:B36)</f>
        <v>35</v>
      </c>
    </row>
    <row r="39" spans="1:9" x14ac:dyDescent="0.25">
      <c r="A39" s="15" t="s">
        <v>148</v>
      </c>
      <c r="B39" s="16">
        <f>COUNTIF(H2:H36,"High")</f>
        <v>17</v>
      </c>
    </row>
    <row r="40" spans="1:9" x14ac:dyDescent="0.25">
      <c r="A40" s="15" t="s">
        <v>149</v>
      </c>
      <c r="B40" s="16">
        <f>COUNTIF(H2:H36,"Medium")</f>
        <v>13</v>
      </c>
    </row>
    <row r="41" spans="1:9" x14ac:dyDescent="0.25">
      <c r="A41" s="15" t="s">
        <v>150</v>
      </c>
      <c r="B41" s="16">
        <f>COUNTIF(H2:H36,"Low")</f>
        <v>5</v>
      </c>
    </row>
  </sheetData>
  <autoFilter ref="A1:I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zoomScaleNormal="100" workbookViewId="0">
      <pane ySplit="1" topLeftCell="A7" activePane="bottomLeft" state="frozen"/>
      <selection pane="bottomLeft" activeCell="A15" sqref="A15:E20"/>
    </sheetView>
  </sheetViews>
  <sheetFormatPr defaultColWidth="8.7109375" defaultRowHeight="15" x14ac:dyDescent="0.25"/>
  <cols>
    <col min="1" max="1" width="41.28515625" bestFit="1" customWidth="1"/>
    <col min="2" max="2" width="20.28515625" bestFit="1" customWidth="1"/>
    <col min="3" max="3" width="42.28515625" bestFit="1" customWidth="1"/>
    <col min="4" max="4" width="22.5703125" bestFit="1" customWidth="1"/>
    <col min="5" max="5" width="12.140625" bestFit="1" customWidth="1"/>
  </cols>
  <sheetData>
    <row r="1" spans="1:5" x14ac:dyDescent="0.25">
      <c r="A1" s="5" t="s">
        <v>151</v>
      </c>
      <c r="B1" s="5" t="s">
        <v>152</v>
      </c>
      <c r="C1" s="5" t="s">
        <v>153</v>
      </c>
      <c r="D1" s="5" t="s">
        <v>26</v>
      </c>
      <c r="E1" s="5" t="s">
        <v>25</v>
      </c>
    </row>
    <row r="2" spans="1:5" ht="31.5" customHeight="1" x14ac:dyDescent="0.25">
      <c r="A2" s="6" t="s">
        <v>154</v>
      </c>
      <c r="B2" s="6" t="s">
        <v>155</v>
      </c>
      <c r="C2" s="6" t="s">
        <v>156</v>
      </c>
      <c r="D2" s="6" t="s">
        <v>157</v>
      </c>
      <c r="E2" s="9" t="s">
        <v>37</v>
      </c>
    </row>
    <row r="3" spans="1:5" ht="31.5" customHeight="1" x14ac:dyDescent="0.25">
      <c r="A3" s="8" t="s">
        <v>158</v>
      </c>
      <c r="B3" s="8" t="s">
        <v>62</v>
      </c>
      <c r="C3" s="8" t="s">
        <v>159</v>
      </c>
      <c r="D3" s="8" t="s">
        <v>160</v>
      </c>
      <c r="E3" s="9" t="s">
        <v>37</v>
      </c>
    </row>
    <row r="4" spans="1:5" ht="31.5" customHeight="1" x14ac:dyDescent="0.25">
      <c r="A4" s="6" t="s">
        <v>161</v>
      </c>
      <c r="B4" s="6" t="s">
        <v>162</v>
      </c>
      <c r="C4" s="6" t="s">
        <v>163</v>
      </c>
      <c r="D4" s="6" t="s">
        <v>164</v>
      </c>
      <c r="E4" s="9" t="s">
        <v>37</v>
      </c>
    </row>
    <row r="5" spans="1:5" ht="31.5" customHeight="1" x14ac:dyDescent="0.25">
      <c r="A5" s="8" t="s">
        <v>165</v>
      </c>
      <c r="B5" s="8" t="s">
        <v>166</v>
      </c>
      <c r="C5" s="8" t="s">
        <v>167</v>
      </c>
      <c r="D5" s="8" t="s">
        <v>168</v>
      </c>
      <c r="E5" s="7" t="s">
        <v>33</v>
      </c>
    </row>
    <row r="6" spans="1:5" ht="31.5" customHeight="1" x14ac:dyDescent="0.25">
      <c r="A6" s="6" t="s">
        <v>169</v>
      </c>
      <c r="B6" s="6" t="s">
        <v>170</v>
      </c>
      <c r="C6" s="6" t="s">
        <v>171</v>
      </c>
      <c r="D6" s="6" t="s">
        <v>172</v>
      </c>
      <c r="E6" s="9" t="s">
        <v>37</v>
      </c>
    </row>
    <row r="7" spans="1:5" ht="31.5" customHeight="1" x14ac:dyDescent="0.25">
      <c r="A7" s="8" t="s">
        <v>173</v>
      </c>
      <c r="B7" s="8" t="s">
        <v>174</v>
      </c>
      <c r="C7" s="8" t="s">
        <v>175</v>
      </c>
      <c r="D7" s="8" t="s">
        <v>176</v>
      </c>
      <c r="E7" s="9" t="s">
        <v>37</v>
      </c>
    </row>
    <row r="8" spans="1:5" ht="31.5" customHeight="1" x14ac:dyDescent="0.25">
      <c r="A8" s="6" t="s">
        <v>177</v>
      </c>
      <c r="B8" s="6" t="s">
        <v>174</v>
      </c>
      <c r="C8" s="6" t="s">
        <v>175</v>
      </c>
      <c r="D8" s="6" t="s">
        <v>178</v>
      </c>
      <c r="E8" s="9" t="s">
        <v>37</v>
      </c>
    </row>
    <row r="9" spans="1:5" ht="31.5" customHeight="1" x14ac:dyDescent="0.25">
      <c r="A9" s="8" t="s">
        <v>179</v>
      </c>
      <c r="B9" s="8" t="s">
        <v>166</v>
      </c>
      <c r="C9" s="8" t="s">
        <v>180</v>
      </c>
      <c r="D9" s="8" t="s">
        <v>164</v>
      </c>
      <c r="E9" s="9" t="s">
        <v>37</v>
      </c>
    </row>
    <row r="10" spans="1:5" ht="31.5" customHeight="1" x14ac:dyDescent="0.25">
      <c r="A10" s="6" t="s">
        <v>181</v>
      </c>
      <c r="B10" s="6" t="s">
        <v>182</v>
      </c>
      <c r="C10" s="6" t="s">
        <v>183</v>
      </c>
      <c r="D10" s="6" t="s">
        <v>172</v>
      </c>
      <c r="E10" s="7" t="s">
        <v>33</v>
      </c>
    </row>
    <row r="11" spans="1:5" ht="38.25" x14ac:dyDescent="0.25">
      <c r="A11" s="8" t="s">
        <v>184</v>
      </c>
      <c r="B11" s="8" t="s">
        <v>185</v>
      </c>
      <c r="C11" s="8" t="s">
        <v>186</v>
      </c>
      <c r="D11" s="8" t="s">
        <v>172</v>
      </c>
      <c r="E11" s="7" t="s">
        <v>33</v>
      </c>
    </row>
    <row r="12" spans="1:5" ht="31.5" customHeight="1" x14ac:dyDescent="0.25">
      <c r="A12" s="6" t="s">
        <v>187</v>
      </c>
      <c r="B12" s="6" t="s">
        <v>188</v>
      </c>
      <c r="C12" s="6" t="s">
        <v>189</v>
      </c>
      <c r="D12" s="6" t="s">
        <v>190</v>
      </c>
      <c r="E12" s="10" t="s">
        <v>47</v>
      </c>
    </row>
    <row r="13" spans="1:5" ht="31.5" customHeight="1" x14ac:dyDescent="0.25">
      <c r="A13" s="8" t="s">
        <v>191</v>
      </c>
      <c r="B13" s="8" t="s">
        <v>74</v>
      </c>
      <c r="C13" s="8" t="s">
        <v>192</v>
      </c>
      <c r="D13" s="8" t="s">
        <v>193</v>
      </c>
      <c r="E13" s="7" t="s">
        <v>33</v>
      </c>
    </row>
    <row r="15" spans="1:5" ht="30" customHeight="1" x14ac:dyDescent="0.25">
      <c r="A15" s="12"/>
      <c r="B15" s="12"/>
      <c r="C15" s="12"/>
      <c r="D15" s="12"/>
      <c r="E15" s="12"/>
    </row>
  </sheetData>
  <autoFilter ref="A1:E1" xr:uid="{00000000-0009-0000-0000-000002000000}"/>
  <mergeCells count="1">
    <mergeCell ref="A15:E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showGridLines="0" tabSelected="1" zoomScaleNormal="100" workbookViewId="0">
      <pane ySplit="1" topLeftCell="A2" activePane="bottomLeft" state="frozen"/>
      <selection pane="bottomLeft" activeCell="B8" sqref="B8"/>
    </sheetView>
  </sheetViews>
  <sheetFormatPr defaultColWidth="8.7109375" defaultRowHeight="15" x14ac:dyDescent="0.25"/>
  <cols>
    <col min="1" max="1" width="24.85546875" bestFit="1" customWidth="1"/>
    <col min="2" max="2" width="17.85546875" bestFit="1" customWidth="1"/>
    <col min="3" max="3" width="23.7109375" bestFit="1" customWidth="1"/>
    <col min="4" max="4" width="12.140625" bestFit="1" customWidth="1"/>
    <col min="5" max="5" width="44.28515625" bestFit="1" customWidth="1"/>
  </cols>
  <sheetData>
    <row r="1" spans="1:5" x14ac:dyDescent="0.25">
      <c r="A1" s="5" t="s">
        <v>194</v>
      </c>
      <c r="B1" s="5" t="s">
        <v>20</v>
      </c>
      <c r="C1" s="5" t="s">
        <v>195</v>
      </c>
      <c r="D1" s="5" t="s">
        <v>25</v>
      </c>
      <c r="E1" s="5" t="s">
        <v>196</v>
      </c>
    </row>
    <row r="2" spans="1:5" ht="39.75" customHeight="1" x14ac:dyDescent="0.25">
      <c r="A2" s="6" t="s">
        <v>197</v>
      </c>
      <c r="B2" s="6" t="s">
        <v>141</v>
      </c>
      <c r="C2" s="6" t="s">
        <v>34</v>
      </c>
      <c r="D2" s="11" t="s">
        <v>198</v>
      </c>
      <c r="E2" s="6" t="s">
        <v>199</v>
      </c>
    </row>
    <row r="3" spans="1:5" ht="39.75" customHeight="1" x14ac:dyDescent="0.25">
      <c r="A3" s="8" t="s">
        <v>200</v>
      </c>
      <c r="B3" s="8" t="s">
        <v>141</v>
      </c>
      <c r="C3" s="8" t="s">
        <v>34</v>
      </c>
      <c r="D3" s="9" t="s">
        <v>37</v>
      </c>
      <c r="E3" s="8" t="s">
        <v>201</v>
      </c>
    </row>
    <row r="4" spans="1:5" ht="39.75" customHeight="1" x14ac:dyDescent="0.25">
      <c r="A4" s="6" t="s">
        <v>202</v>
      </c>
      <c r="B4" s="6" t="s">
        <v>141</v>
      </c>
      <c r="C4" s="6" t="s">
        <v>203</v>
      </c>
      <c r="D4" s="9" t="s">
        <v>37</v>
      </c>
      <c r="E4" s="6" t="s">
        <v>204</v>
      </c>
    </row>
    <row r="5" spans="1:5" ht="39.75" customHeight="1" x14ac:dyDescent="0.25">
      <c r="A5" s="8" t="s">
        <v>205</v>
      </c>
      <c r="B5" s="8" t="s">
        <v>141</v>
      </c>
      <c r="C5" s="8" t="s">
        <v>64</v>
      </c>
      <c r="D5" s="7" t="s">
        <v>33</v>
      </c>
      <c r="E5" s="8" t="s">
        <v>206</v>
      </c>
    </row>
    <row r="6" spans="1:5" ht="39.75" customHeight="1" x14ac:dyDescent="0.25">
      <c r="A6" s="6" t="s">
        <v>207</v>
      </c>
      <c r="B6" s="6" t="s">
        <v>208</v>
      </c>
      <c r="C6" s="6" t="s">
        <v>209</v>
      </c>
      <c r="D6" s="9" t="s">
        <v>37</v>
      </c>
      <c r="E6" s="6" t="s">
        <v>210</v>
      </c>
    </row>
    <row r="7" spans="1:5" ht="39.75" customHeight="1" x14ac:dyDescent="0.25">
      <c r="A7" s="8" t="s">
        <v>211</v>
      </c>
      <c r="B7" s="8" t="s">
        <v>141</v>
      </c>
      <c r="C7" s="8" t="s">
        <v>212</v>
      </c>
      <c r="D7" s="7" t="s">
        <v>33</v>
      </c>
      <c r="E7" s="8" t="s">
        <v>213</v>
      </c>
    </row>
    <row r="8" spans="1:5" ht="39.75" customHeight="1" x14ac:dyDescent="0.25">
      <c r="A8" s="6" t="s">
        <v>214</v>
      </c>
      <c r="B8" s="6" t="s">
        <v>29</v>
      </c>
      <c r="C8" s="6" t="s">
        <v>215</v>
      </c>
      <c r="D8" s="9" t="s">
        <v>37</v>
      </c>
      <c r="E8" s="6" t="s">
        <v>216</v>
      </c>
    </row>
    <row r="9" spans="1:5" ht="39.75" customHeight="1" x14ac:dyDescent="0.25">
      <c r="A9" s="8" t="s">
        <v>217</v>
      </c>
      <c r="B9" s="8" t="s">
        <v>29</v>
      </c>
      <c r="C9" s="8" t="s">
        <v>116</v>
      </c>
      <c r="D9" s="9" t="s">
        <v>37</v>
      </c>
      <c r="E9" s="8" t="s">
        <v>218</v>
      </c>
    </row>
  </sheetData>
  <autoFilter ref="A1:E1"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Keyword Map</vt:lpstr>
      <vt:lpstr>FAQ Keyword Bank</vt:lpstr>
      <vt:lpstr>Brand 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0</cp:revision>
  <dcterms:created xsi:type="dcterms:W3CDTF">2026-09-08T06:26:45Z</dcterms:created>
  <dcterms:modified xsi:type="dcterms:W3CDTF">2026-09-08T15:39:24Z</dcterms:modified>
  <dc:language>en-US</dc:language>
</cp:coreProperties>
</file>