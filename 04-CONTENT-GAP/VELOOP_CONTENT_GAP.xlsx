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A93FA097-8395-4F1D-983C-87D5D8F98826}" xr6:coauthVersionLast="47" xr6:coauthVersionMax="47" xr10:uidLastSave="{00000000-0000-0000-0000-000000000000}"/>
  <bookViews>
    <workbookView xWindow="-120" yWindow="-120" windowWidth="20730" windowHeight="11040" tabRatio="500" activeTab="2" xr2:uid="{00000000-000D-0000-FFFF-FFFF00000000}"/>
  </bookViews>
  <sheets>
    <sheet name="Dashboard" sheetId="1" r:id="rId1"/>
    <sheet name="Content Gap" sheetId="2" r:id="rId2"/>
    <sheet name="README" sheetId="3" r:id="rId3"/>
  </sheets>
  <definedNames>
    <definedName name="_xlnm._FilterDatabase" localSheetId="1" hidden="1">'Content Gap'!$A$1:$J$1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17" i="1" l="1"/>
  <c r="H16" i="1"/>
  <c r="C16" i="1"/>
  <c r="H15" i="1"/>
  <c r="C15" i="1"/>
  <c r="H14" i="1"/>
  <c r="C14" i="1"/>
  <c r="F7" i="1"/>
  <c r="D7" i="1"/>
  <c r="B7" i="1"/>
</calcChain>
</file>

<file path=xl/sharedStrings.xml><?xml version="1.0" encoding="utf-8"?>
<sst xmlns="http://schemas.openxmlformats.org/spreadsheetml/2006/main" count="211" uniqueCount="110">
  <si>
    <t>VELoop Rewards — Content Gap Report</t>
  </si>
  <si>
    <t>Where competitors already win the search — and where VELoop still can</t>
  </si>
  <si>
    <t>TOPICS MAPPED</t>
  </si>
  <si>
    <t>HIGH-PRIORITY GAPS</t>
  </si>
  <si>
    <t>VELoop NOT COVERING</t>
  </si>
  <si>
    <t>Coverage status (VELoop)</t>
  </si>
  <si>
    <t>Opportunity priority</t>
  </si>
  <si>
    <t>Status</t>
  </si>
  <si>
    <t>Count</t>
  </si>
  <si>
    <t>Priority</t>
  </si>
  <si>
    <t>Yes</t>
  </si>
  <si>
    <t>Critical</t>
  </si>
  <si>
    <t>Partial</t>
  </si>
  <si>
    <t>High</t>
  </si>
  <si>
    <t>No</t>
  </si>
  <si>
    <t>Medium</t>
  </si>
  <si>
    <t>Low</t>
  </si>
  <si>
    <t>How to read this dashboard</t>
  </si>
  <si>
    <t>The pie chart shows how much of the mapped topic list VELoop already has content for (per the File 1 audit). The bar chart shows how many of those gaps are Critical/High/Medium/Low priority to close first. Full topic-by-topic detail is on the ‘Content Gap’ tab.</t>
  </si>
  <si>
    <t>Topic</t>
  </si>
  <si>
    <t>Category</t>
  </si>
  <si>
    <t>Competitors Cover It?</t>
  </si>
  <si>
    <t>Which Competitors</t>
  </si>
  <si>
    <t>VELoop Covers It?</t>
  </si>
  <si>
    <t>Coverage Score</t>
  </si>
  <si>
    <t>Opportunity</t>
  </si>
  <si>
    <t>Recommended Content Type</t>
  </si>
  <si>
    <t>Reasoning</t>
  </si>
  <si>
    <t>Referral rewards / how referral programs work</t>
  </si>
  <si>
    <t>Feature</t>
  </si>
  <si>
    <t>Freecash, Swagbucks, JumpTask</t>
  </si>
  <si>
    <t>Feature page + blog guide</t>
  </si>
  <si>
    <t>All three closest competitors have referral mechanics explained; VELoop's Refer &amp; Earn feature has no confirmed public page (File 1, Section 6).</t>
  </si>
  <si>
    <t>Reward points / in-platform currency guide</t>
  </si>
  <si>
    <t>Trust/Education</t>
  </si>
  <si>
    <t>Freecash, JumpTask</t>
  </si>
  <si>
    <t>Blog guide + FAQ</t>
  </si>
  <si>
    <t>Competitors explain their point/token systems (FC, JMPT) in plain language; VELoop's Gems/Tokens/VEs/SVEs have no confirmed public explainer.</t>
  </si>
  <si>
    <t>Legitimacy / “is it a scam” trust content</t>
  </si>
  <si>
    <t>Trust</t>
  </si>
  <si>
    <t>Trust/FAQ page</t>
  </si>
  <si>
    <t>Every competitor has multiple independent ‘is it legit’ pieces (File 3, Section 1). VELoop has zero third-party or on-site trust content — the single largest gap found.</t>
  </si>
  <si>
    <t>Withdrawal / payout process guide</t>
  </si>
  <si>
    <t>Blog + Trust page</t>
  </si>
  <si>
    <t>Competitors publish specific payout minimums/timelines. Homepage meta mentions ‘instant payouts’ but no dedicated page confirms terms (File 1, Section 5).</t>
  </si>
  <si>
    <t>Watch ads &amp; earn guide</t>
  </si>
  <si>
    <t>Freecash (offer-based)</t>
  </si>
  <si>
    <t>Feature landing page</t>
  </si>
  <si>
    <t>This is VELoop's own homepage focus already, but no separate in-depth guide exists explaining mechanics, limits, or best practices.</t>
  </si>
  <si>
    <t>Online reward games guide</t>
  </si>
  <si>
    <t>Feature page + blog</t>
  </si>
  <si>
    <t>Competitors have browsable game/offer categories; VELoop's Games feature has no confirmed public page (File 1, Section 6).</t>
  </si>
  <si>
    <t>Daily rewards / streak mechanics</t>
  </si>
  <si>
    <t>Freecash (streak/bonus ladder)</t>
  </si>
  <si>
    <t>Feature page</t>
  </si>
  <si>
    <t>Freecash explicitly documents its streak/bonus ladder; VELoop's Daily Rewards/Daily Streak has no confirmed explainer.</t>
  </si>
  <si>
    <t>Spin &amp; Win mechanics guide</t>
  </si>
  <si>
    <t>—</t>
  </si>
  <si>
    <t>Not clearly covered by any of the four competitors reviewed — lower competitive urgency, but still an on-site gap for VELoop's own users.</t>
  </si>
  <si>
    <t>Tasks / earn-by-completing-tasks guide</t>
  </si>
  <si>
    <t>Freecash, JumpTask, Swagbucks</t>
  </si>
  <si>
    <t>Task-based earning is central to all three closest competitors' content; matches Category B keywords in File 2.</t>
  </si>
  <si>
    <t>VEs explained (platform-specific)</t>
  </si>
  <si>
    <t>FAQ / trust page</t>
  </si>
  <si>
    <t>No competitor can answer this — zero external competition. Easiest ranking opportunity once VELoop publishes an accurate explainer (File 2, Category E).</t>
  </si>
  <si>
    <t>SVEs explained (platform-specific)</t>
  </si>
  <si>
    <t>Same rationale as VEs — uncontested search term, VELoop-only answer.</t>
  </si>
  <si>
    <t>Rewards platforms for students</t>
  </si>
  <si>
    <t>Audience/Comparison</t>
  </si>
  <si>
    <t>General personal-finance blogs</t>
  </si>
  <si>
    <t>Blog article</t>
  </si>
  <si>
    <t>Underserved specific-audience angle; none of the four core competitors target students directly (File 3, Section 4.2).</t>
  </si>
  <si>
    <t>Best reward platforms (comparison)</t>
  </si>
  <si>
    <t>Comparison</t>
  </si>
  <si>
    <t>Multiple review sites</t>
  </si>
  <si>
    <t>Blog article (later phase)</t>
  </si>
  <si>
    <t>Heavily contested by established third-party review publishers; realistic only once VELoop has enough trust content (File 2, Category D).</t>
  </si>
  <si>
    <t>How reward platforms work (pillar/beginner)</t>
  </si>
  <si>
    <t>Education</t>
  </si>
  <si>
    <t>General GPT-review ecosystem</t>
  </si>
  <si>
    <t>Blog pillar article</t>
  </si>
  <si>
    <t>Broad informational entry point; low direct competition from the four core competitors' own content.</t>
  </si>
  <si>
    <t>India-specific earning guide</t>
  </si>
  <si>
    <t>Audience/Localisation</t>
  </si>
  <si>
    <t>Toluna (India-weighted audience)</t>
  </si>
  <si>
    <t>Blog article + localisation</t>
  </si>
  <si>
    <t>Only Toluna shows clear India-first traffic among the four competitors (File 3, Section 2.3).</t>
  </si>
  <si>
    <t>What Is VELoop Rewards? (brand/platform overview)</t>
  </si>
  <si>
    <t>Trust/Brand</t>
  </si>
  <si>
    <t>N/A — brand-specific</t>
  </si>
  <si>
    <t>Blog/Trust page</t>
  </si>
  <si>
    <t>No page anywhere answers the literal brand-definition query — the closest existing content (File 9, Article 3) is a generic industry explainer, not VELoop-specific.</t>
  </si>
  <si>
    <t>How VELoop Rewards Works (VELoop-specific mechanics)</t>
  </si>
  <si>
    <t>Distinct from the generic pillar guide already published — needs a VELoop-specific mechanics walkthrough.</t>
  </si>
  <si>
    <t>VELoop Wallet Explained</t>
  </si>
  <si>
    <t>Trust/Platform Mechanics</t>
  </si>
  <si>
    <t>Partial — competitors explain their own wallets/payout screens</t>
  </si>
  <si>
    <t>No page or keyword mapping existed for the Wallet specifically — previously only covered indirectly inside the Withdrawals article.</t>
  </si>
  <si>
    <t>VELoop Exchange Center Guide</t>
  </si>
  <si>
    <t>N/A — platform-specific term</t>
  </si>
  <si>
    <t>Exchange Center was previously only a link target inside other articles, never its own topic with a dedicated explainer.</t>
  </si>
  <si>
    <t>What's in this workbook</t>
  </si>
  <si>
    <t>• Dashboard — KPI summary and two charts: VELoop's current coverage status, and how many gaps fall into each priority tier.</t>
  </si>
  <si>
    <t>• Content Gap — the full topic-by-topic table (brief Section 11), built from the competitor findings in File 3 and the on-page findings in File 1.</t>
  </si>
  <si>
    <t>How ‘Competitors Cover It?’ and ‘VELoop Covers It?’ were assessed</t>
  </si>
  <si>
    <t>Ratings (Yes / Partial / No) reflect what was directly observed in File 1 (VELoop) and File 3 (competitors). ‘Coverage Score’ is a simple 0–100 scale used only to drive the data-bar visual, not a measured metric from any tool.</t>
  </si>
  <si>
    <t>Priority key</t>
  </si>
  <si>
    <t>Critical — trust-foundational; likely blocking conversions today. High — strong, confirmed competitive gap. Medium — real opportunity, less urgent. Low — long-tail or heavily contested; revisit later.</t>
  </si>
  <si>
    <t>Suggested next step</t>
  </si>
  <si>
    <t>Cross-reference this list against File 5 (3-Month Content Calendar) to confirm every Critical/High topic here has a scheduled article or page, and against File 2 (Keyword Research) to confirm each has a mapped primary keyword before writing begins.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</si>
</sst>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charset val="1"/>
    </font>
    <font>
      <b/>
      <sz val="20"/>
      <color rgb="FF3B1F2B"/>
      <name val="Arial"/>
      <charset val="1"/>
    </font>
    <font>
      <i/>
      <sz val="11"/>
      <color rgb="FF6B8F71"/>
      <name val="Arial"/>
      <charset val="1"/>
    </font>
    <font>
      <b/>
      <sz val="9.5"/>
      <color rgb="FFFFFFFF"/>
      <name val="Arial"/>
      <charset val="1"/>
    </font>
    <font>
      <b/>
      <sz val="26"/>
      <color rgb="FF3B1F2B"/>
      <name val="Arial"/>
      <charset val="1"/>
    </font>
    <font>
      <b/>
      <sz val="26"/>
      <color rgb="FFB3455C"/>
      <name val="Arial"/>
      <charset val="1"/>
    </font>
    <font>
      <b/>
      <sz val="26"/>
      <color rgb="FFE2A83B"/>
      <name val="Arial"/>
      <charset val="1"/>
    </font>
    <font>
      <b/>
      <sz val="11"/>
      <color rgb="FF3B1F2B"/>
      <name val="Arial"/>
      <charset val="1"/>
    </font>
    <font>
      <b/>
      <sz val="9"/>
      <color rgb="FFFFFFFF"/>
      <name val="Arial"/>
      <charset val="1"/>
    </font>
    <font>
      <sz val="10"/>
      <color rgb="FF2B2028"/>
      <name val="Arial"/>
      <charset val="1"/>
    </font>
    <font>
      <i/>
      <sz val="9.5"/>
      <color rgb="FF2B2028"/>
      <name val="Arial"/>
      <charset val="1"/>
    </font>
    <font>
      <b/>
      <sz val="10"/>
      <color rgb="FFFFFFFF"/>
      <name val="Arial"/>
      <charset val="1"/>
    </font>
    <font>
      <sz val="9.5"/>
      <color rgb="FF2B2028"/>
      <name val="Arial"/>
      <charset val="1"/>
    </font>
    <font>
      <b/>
      <sz val="9.5"/>
      <color rgb="FFC2661C"/>
      <name val="Arial"/>
      <charset val="1"/>
    </font>
    <font>
      <b/>
      <sz val="9.5"/>
      <color rgb="FFB3455C"/>
      <name val="Arial"/>
      <charset val="1"/>
    </font>
    <font>
      <b/>
      <sz val="9.5"/>
      <color rgb="FF9C7A22"/>
      <name val="Arial"/>
      <charset val="1"/>
    </font>
    <font>
      <b/>
      <sz val="9.5"/>
      <color rgb="FF8A8071"/>
      <name val="Arial"/>
      <charset val="1"/>
    </font>
    <font>
      <b/>
      <sz val="16"/>
      <color rgb="FF3B1F2B"/>
      <name val="Arial"/>
      <charset val="1"/>
    </font>
    <font>
      <b/>
      <sz val="11.5"/>
      <color rgb="FF3B1F2B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E2A83B"/>
        <bgColor rgb="FFFFCC00"/>
      </patternFill>
    </fill>
    <fill>
      <patternFill patternType="solid">
        <fgColor rgb="FF3B1F2B"/>
        <bgColor rgb="FF2B2028"/>
      </patternFill>
    </fill>
    <fill>
      <patternFill patternType="solid">
        <fgColor rgb="FFB3455C"/>
        <bgColor rgb="FF993366"/>
      </patternFill>
    </fill>
    <fill>
      <patternFill patternType="solid">
        <fgColor rgb="FFFBF7F0"/>
        <bgColor rgb="FFF9F9F9"/>
      </patternFill>
    </fill>
    <fill>
      <patternFill patternType="solid">
        <fgColor rgb="FF6B8F71"/>
        <bgColor rgb="FF878787"/>
      </patternFill>
    </fill>
  </fills>
  <borders count="5">
    <border>
      <left/>
      <right/>
      <top/>
      <bottom/>
      <diagonal/>
    </border>
    <border>
      <left style="medium">
        <color rgb="FF3B1F2B"/>
      </left>
      <right style="medium">
        <color rgb="FF3B1F2B"/>
      </right>
      <top style="medium">
        <color rgb="FF3B1F2B"/>
      </top>
      <bottom style="medium">
        <color rgb="FF3B1F2B"/>
      </bottom>
      <diagonal/>
    </border>
    <border>
      <left style="medium">
        <color rgb="FFB3455C"/>
      </left>
      <right style="medium">
        <color rgb="FFB3455C"/>
      </right>
      <top style="medium">
        <color rgb="FFB3455C"/>
      </top>
      <bottom style="medium">
        <color rgb="FFB3455C"/>
      </bottom>
      <diagonal/>
    </border>
    <border>
      <left style="medium">
        <color rgb="FFE2A83B"/>
      </left>
      <right style="medium">
        <color rgb="FFE2A83B"/>
      </right>
      <top style="medium">
        <color rgb="FFE2A83B"/>
      </top>
      <bottom style="medium">
        <color rgb="FFE2A83B"/>
      </bottom>
      <diagonal/>
    </border>
    <border>
      <left style="thin">
        <color rgb="FFD9CFC9"/>
      </left>
      <right style="thin">
        <color rgb="FFD9CFC9"/>
      </right>
      <top style="thin">
        <color rgb="FFD9CFC9"/>
      </top>
      <bottom style="thin">
        <color rgb="FFD9CFC9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0" fillId="0" borderId="0" xfId="0" applyFont="1" applyAlignment="1">
      <alignment vertical="top" wrapText="1"/>
    </xf>
    <xf numFmtId="0" fontId="6" fillId="5" borderId="3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0" borderId="0" xfId="0" applyFont="1"/>
    <xf numFmtId="0" fontId="1" fillId="0" borderId="0" xfId="0" applyFont="1"/>
    <xf numFmtId="0" fontId="0" fillId="2" borderId="0" xfId="0" applyFill="1"/>
    <xf numFmtId="0" fontId="7" fillId="0" borderId="0" xfId="0" applyFont="1"/>
    <xf numFmtId="0" fontId="8" fillId="6" borderId="0" xfId="0" applyFont="1" applyFill="1"/>
    <xf numFmtId="0" fontId="8" fillId="2" borderId="0" xfId="0" applyFont="1" applyFill="1"/>
    <xf numFmtId="0" fontId="9" fillId="0" borderId="0" xfId="0" applyFont="1"/>
    <xf numFmtId="0" fontId="11" fillId="3" borderId="4" xfId="0" applyFont="1" applyFill="1" applyBorder="1" applyAlignment="1">
      <alignment horizontal="center" vertical="center" wrapText="1"/>
    </xf>
    <xf numFmtId="0" fontId="12" fillId="5" borderId="4" xfId="0" applyFont="1" applyFill="1" applyBorder="1" applyAlignment="1">
      <alignment horizontal="left" vertical="top" wrapText="1"/>
    </xf>
    <xf numFmtId="0" fontId="12" fillId="0" borderId="4" xfId="0" applyFont="1" applyBorder="1" applyAlignment="1">
      <alignment horizontal="center" vertical="center"/>
    </xf>
    <xf numFmtId="0" fontId="13" fillId="5" borderId="4" xfId="0" applyFont="1" applyFill="1" applyBorder="1" applyAlignment="1">
      <alignment horizontal="center" vertical="center"/>
    </xf>
    <xf numFmtId="0" fontId="12" fillId="0" borderId="4" xfId="0" applyFont="1" applyBorder="1" applyAlignment="1">
      <alignment horizontal="left" vertical="top" wrapText="1"/>
    </xf>
    <xf numFmtId="0" fontId="13" fillId="0" borderId="4" xfId="0" applyFont="1" applyBorder="1" applyAlignment="1">
      <alignment horizontal="center" vertical="center"/>
    </xf>
    <xf numFmtId="0" fontId="14" fillId="5" borderId="4" xfId="0" applyFont="1" applyFill="1" applyBorder="1" applyAlignment="1">
      <alignment horizontal="center" vertical="center"/>
    </xf>
    <xf numFmtId="0" fontId="15" fillId="5" borderId="4" xfId="0" applyFont="1" applyFill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6" fillId="5" borderId="4" xfId="0" applyFont="1" applyFill="1" applyBorder="1" applyAlignment="1">
      <alignment horizontal="center" vertical="center"/>
    </xf>
    <xf numFmtId="0" fontId="17" fillId="0" borderId="0" xfId="0" applyFont="1"/>
    <xf numFmtId="0" fontId="18" fillId="0" borderId="0" xfId="0" applyFont="1" applyAlignment="1">
      <alignment vertical="top" wrapText="1"/>
    </xf>
    <xf numFmtId="0" fontId="9" fillId="0" borderId="0" xfId="0" applyFont="1" applyAlignment="1">
      <alignment vertical="top" wrapText="1"/>
    </xf>
  </cellXfs>
  <cellStyles count="1">
    <cellStyle name="Normal" xfId="0" builtinId="0"/>
  </cellStyles>
  <dxfs count="6">
    <dxf>
      <fill>
        <patternFill>
          <bgColor rgb="FFF4D9DE"/>
        </patternFill>
      </fill>
    </dxf>
    <dxf>
      <fill>
        <patternFill>
          <bgColor rgb="FFF6E4BE"/>
        </patternFill>
      </fill>
    </dxf>
    <dxf>
      <fill>
        <patternFill>
          <bgColor rgb="FFDCE8DE"/>
        </patternFill>
      </fill>
    </dxf>
    <dxf>
      <fill>
        <patternFill>
          <bgColor rgb="FFF4D9DE"/>
        </patternFill>
      </fill>
    </dxf>
    <dxf>
      <fill>
        <patternFill>
          <bgColor rgb="FFF6E4BE"/>
        </patternFill>
      </fill>
    </dxf>
    <dxf>
      <fill>
        <patternFill>
          <bgColor rgb="FFDCE8D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C7A22"/>
      <rgbColor rgb="FF800080"/>
      <rgbColor rgb="FF008080"/>
      <rgbColor rgb="FFD9CFC9"/>
      <rgbColor rgb="FF878787"/>
      <rgbColor rgb="FF9999FF"/>
      <rgbColor rgb="FFB3455C"/>
      <rgbColor rgb="FFFBF7F0"/>
      <rgbColor rgb="FFF9F9F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CE8DE"/>
      <rgbColor rgb="FFF4D9DE"/>
      <rgbColor rgb="FF99CCFF"/>
      <rgbColor rgb="FFFF99CC"/>
      <rgbColor rgb="FFCC99FF"/>
      <rgbColor rgb="FFF6E4BE"/>
      <rgbColor rgb="FF3366FF"/>
      <rgbColor rgb="FF33CCCC"/>
      <rgbColor rgb="FF99CC00"/>
      <rgbColor rgb="FFFFCC00"/>
      <rgbColor rgb="FFE2A83B"/>
      <rgbColor rgb="FFC2661C"/>
      <rgbColor rgb="FF4F81BD"/>
      <rgbColor rgb="FF8A8071"/>
      <rgbColor rgb="FF003366"/>
      <rgbColor rgb="FF6B8F71"/>
      <rgbColor rgb="FF003300"/>
      <rgbColor rgb="FF3B1F2B"/>
      <rgbColor rgb="FF993300"/>
      <rgbColor rgb="FF993366"/>
      <rgbColor rgb="FF333399"/>
      <rgbColor rgb="FF2B2028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VELoop content coverage today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Dashboard!$C$13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6B8F71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4DAC-4183-BA3B-032063503F49}"/>
              </c:ext>
            </c:extLst>
          </c:dPt>
          <c:dPt>
            <c:idx val="1"/>
            <c:bubble3D val="0"/>
            <c:spPr>
              <a:solidFill>
                <a:srgbClr val="E2A83B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4DAC-4183-BA3B-032063503F49}"/>
              </c:ext>
            </c:extLst>
          </c:dPt>
          <c:dPt>
            <c:idx val="2"/>
            <c:bubble3D val="0"/>
            <c:spPr>
              <a:solidFill>
                <a:srgbClr val="B3455C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4DAC-4183-BA3B-032063503F49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400" b="1">
                      <a:solidFill>
                        <a:sysClr val="windowText" lastClr="000000"/>
                      </a:solidFill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4DAC-4183-BA3B-032063503F4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 b="1">
                    <a:solidFill>
                      <a:schemeClr val="bg1"/>
                    </a:solidFill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Dashboard!$B$14:$B$16</c:f>
              <c:strCache>
                <c:ptCount val="3"/>
                <c:pt idx="0">
                  <c:v>Yes</c:v>
                </c:pt>
                <c:pt idx="1">
                  <c:v>Partial</c:v>
                </c:pt>
                <c:pt idx="2">
                  <c:v>No</c:v>
                </c:pt>
              </c:strCache>
            </c:strRef>
          </c:cat>
          <c:val>
            <c:numRef>
              <c:f>Dashboard!$C$14:$C$16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DAC-4183-BA3B-032063503F49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Content gaps by priority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Dashboard!$H$13</c:f>
              <c:strCache>
                <c:ptCount val="1"/>
                <c:pt idx="0">
                  <c:v>Count</c:v>
                </c:pt>
              </c:strCache>
            </c:strRef>
          </c:tx>
          <c:spPr>
            <a:gradFill>
              <a:gsLst>
                <a:gs pos="0">
                  <a:schemeClr val="accent2">
                    <a:shade val="51000"/>
                  </a:schemeClr>
                </a:gs>
                <a:gs pos="80000">
                  <a:schemeClr val="accent2">
                    <a:shade val="93000"/>
                  </a:schemeClr>
                </a:gs>
                <a:gs pos="100000">
                  <a:schemeClr val="accent2">
                    <a:shade val="94000"/>
                  </a:schemeClr>
                </a:gs>
              </a:gsLst>
              <a:lin ang="162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Dashboard!$G$14:$G$17</c:f>
              <c:strCache>
                <c:ptCount val="4"/>
                <c:pt idx="0">
                  <c:v>Critical</c:v>
                </c:pt>
                <c:pt idx="1">
                  <c:v>High</c:v>
                </c:pt>
                <c:pt idx="2">
                  <c:v>Medium</c:v>
                </c:pt>
                <c:pt idx="3">
                  <c:v>Low</c:v>
                </c:pt>
              </c:strCache>
            </c:strRef>
          </c:cat>
          <c:val>
            <c:numRef>
              <c:f>Dashboard!$H$14:$H$17</c:f>
              <c:numCache>
                <c:formatCode>General</c:formatCode>
                <c:ptCount val="4"/>
                <c:pt idx="0">
                  <c:v>1</c:v>
                </c:pt>
                <c:pt idx="1">
                  <c:v>12</c:v>
                </c:pt>
                <c:pt idx="2">
                  <c:v>4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05-47BA-99C0-7105487501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30969250"/>
        <c:axId val="86417579"/>
      </c:barChart>
      <c:catAx>
        <c:axId val="30969250"/>
        <c:scaling>
          <c:orientation val="minMax"/>
        </c:scaling>
        <c:delete val="0"/>
        <c:axPos val="b"/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Priority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417579"/>
        <c:crosses val="autoZero"/>
        <c:auto val="1"/>
        <c:lblAlgn val="ctr"/>
        <c:lblOffset val="100"/>
        <c:noMultiLvlLbl val="0"/>
      </c:catAx>
      <c:valAx>
        <c:axId val="864175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Number of topics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96925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</xdr:row>
      <xdr:rowOff>98775</xdr:rowOff>
    </xdr:from>
    <xdr:to>
      <xdr:col>4</xdr:col>
      <xdr:colOff>576360</xdr:colOff>
      <xdr:row>31</xdr:row>
      <xdr:rowOff>131535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1019175</xdr:colOff>
      <xdr:row>17</xdr:row>
      <xdr:rowOff>117825</xdr:rowOff>
    </xdr:from>
    <xdr:to>
      <xdr:col>11</xdr:col>
      <xdr:colOff>507555</xdr:colOff>
      <xdr:row>31</xdr:row>
      <xdr:rowOff>150585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B1F2B"/>
  </sheetPr>
  <dimension ref="B2:H37"/>
  <sheetViews>
    <sheetView showGridLines="0" topLeftCell="A7" zoomScaleNormal="100" workbookViewId="0">
      <selection activeCell="L14" sqref="L14"/>
    </sheetView>
  </sheetViews>
  <sheetFormatPr defaultColWidth="8.7109375" defaultRowHeight="15" x14ac:dyDescent="0.25"/>
  <cols>
    <col min="1" max="1" width="3" customWidth="1"/>
    <col min="2" max="6" width="16" customWidth="1"/>
    <col min="7" max="7" width="16.28515625" customWidth="1"/>
    <col min="8" max="8" width="5.7109375" bestFit="1" customWidth="1"/>
  </cols>
  <sheetData>
    <row r="2" spans="2:8" ht="26.25" x14ac:dyDescent="0.4">
      <c r="B2" s="9" t="s">
        <v>0</v>
      </c>
      <c r="C2" s="9"/>
      <c r="D2" s="9"/>
      <c r="E2" s="9"/>
      <c r="F2" s="9"/>
      <c r="G2" s="9"/>
    </row>
    <row r="3" spans="2:8" x14ac:dyDescent="0.25">
      <c r="B3" s="8" t="s">
        <v>1</v>
      </c>
      <c r="C3" s="8"/>
      <c r="D3" s="8"/>
      <c r="E3" s="8"/>
      <c r="F3" s="8"/>
      <c r="G3" s="8"/>
    </row>
    <row r="4" spans="2:8" ht="3.75" customHeight="1" x14ac:dyDescent="0.25">
      <c r="B4" s="10"/>
      <c r="C4" s="10"/>
      <c r="D4" s="10"/>
      <c r="E4" s="10"/>
      <c r="F4" s="10"/>
      <c r="G4" s="10"/>
    </row>
    <row r="6" spans="2:8" x14ac:dyDescent="0.25">
      <c r="B6" s="7" t="s">
        <v>2</v>
      </c>
      <c r="C6" s="7"/>
      <c r="D6" s="6" t="s">
        <v>3</v>
      </c>
      <c r="E6" s="6"/>
      <c r="F6" s="5" t="s">
        <v>4</v>
      </c>
      <c r="G6" s="5"/>
    </row>
    <row r="7" spans="2:8" x14ac:dyDescent="0.25">
      <c r="B7" s="4">
        <f>COUNTA('Content Gap'!B2:B100)-COUNTBLANK('Content Gap'!B2:B100)</f>
        <v>-61</v>
      </c>
      <c r="C7" s="4"/>
      <c r="D7" s="3">
        <f>COUNTIF('Content Gap'!G2:G100,"High")</f>
        <v>12</v>
      </c>
      <c r="E7" s="3"/>
      <c r="F7" s="2">
        <f>COUNTIF('Content Gap'!F2:F100,"No")</f>
        <v>0</v>
      </c>
      <c r="G7" s="2"/>
    </row>
    <row r="8" spans="2:8" x14ac:dyDescent="0.25">
      <c r="B8" s="4"/>
      <c r="C8" s="4"/>
      <c r="D8" s="3"/>
      <c r="E8" s="3"/>
      <c r="F8" s="2"/>
      <c r="G8" s="2"/>
    </row>
    <row r="9" spans="2:8" x14ac:dyDescent="0.25">
      <c r="B9" s="4"/>
      <c r="C9" s="4"/>
      <c r="D9" s="3"/>
      <c r="E9" s="3"/>
      <c r="F9" s="2"/>
      <c r="G9" s="2"/>
    </row>
    <row r="10" spans="2:8" ht="6" customHeight="1" x14ac:dyDescent="0.25"/>
    <row r="12" spans="2:8" x14ac:dyDescent="0.25">
      <c r="B12" s="11" t="s">
        <v>5</v>
      </c>
      <c r="G12" s="11" t="s">
        <v>6</v>
      </c>
    </row>
    <row r="13" spans="2:8" x14ac:dyDescent="0.25">
      <c r="B13" s="12" t="s">
        <v>7</v>
      </c>
      <c r="C13" s="12" t="s">
        <v>8</v>
      </c>
      <c r="G13" s="13" t="s">
        <v>9</v>
      </c>
      <c r="H13" s="13" t="s">
        <v>8</v>
      </c>
    </row>
    <row r="14" spans="2:8" x14ac:dyDescent="0.25">
      <c r="B14" s="14" t="s">
        <v>10</v>
      </c>
      <c r="C14" s="14">
        <f>COUNTIF('Content Gap'!E2:E100,"Yes")</f>
        <v>0</v>
      </c>
      <c r="G14" s="14" t="s">
        <v>11</v>
      </c>
      <c r="H14" s="14">
        <f>COUNTIF('Content Gap'!H2:H100,"Critical")</f>
        <v>1</v>
      </c>
    </row>
    <row r="15" spans="2:8" x14ac:dyDescent="0.25">
      <c r="B15" s="14" t="s">
        <v>12</v>
      </c>
      <c r="C15" s="14">
        <f>COUNTIF('Content Gap'!E2:E100,"Partial")</f>
        <v>2</v>
      </c>
      <c r="G15" s="14" t="s">
        <v>13</v>
      </c>
      <c r="H15" s="14">
        <f>COUNTIF('Content Gap'!H2:H100,"High")</f>
        <v>12</v>
      </c>
    </row>
    <row r="16" spans="2:8" x14ac:dyDescent="0.25">
      <c r="B16" s="14" t="s">
        <v>14</v>
      </c>
      <c r="C16" s="14">
        <f>COUNTIF('Content Gap'!E2:E100,"No")</f>
        <v>17</v>
      </c>
      <c r="G16" s="14" t="s">
        <v>15</v>
      </c>
      <c r="H16" s="14">
        <f>COUNTIF('Content Gap'!H2:H100,"Medium")</f>
        <v>4</v>
      </c>
    </row>
    <row r="17" spans="7:8" x14ac:dyDescent="0.25">
      <c r="G17" s="14" t="s">
        <v>16</v>
      </c>
      <c r="H17" s="14">
        <f>COUNTIF('Content Gap'!H2:H100,"Low")</f>
        <v>2</v>
      </c>
    </row>
    <row r="34" spans="2:7" x14ac:dyDescent="0.25">
      <c r="B34" s="11" t="s">
        <v>17</v>
      </c>
    </row>
    <row r="35" spans="2:7" ht="49.5" customHeight="1" x14ac:dyDescent="0.25">
      <c r="B35" s="1" t="s">
        <v>18</v>
      </c>
      <c r="C35" s="1"/>
      <c r="D35" s="1"/>
      <c r="E35" s="1"/>
      <c r="F35" s="1"/>
      <c r="G35" s="1"/>
    </row>
    <row r="36" spans="2:7" x14ac:dyDescent="0.25">
      <c r="B36" s="1"/>
      <c r="C36" s="1"/>
      <c r="D36" s="1"/>
      <c r="E36" s="1"/>
      <c r="F36" s="1"/>
      <c r="G36" s="1"/>
    </row>
    <row r="37" spans="2:7" x14ac:dyDescent="0.25">
      <c r="B37" s="1"/>
      <c r="C37" s="1"/>
      <c r="D37" s="1"/>
      <c r="E37" s="1"/>
      <c r="F37" s="1"/>
      <c r="G37" s="1"/>
    </row>
  </sheetData>
  <mergeCells count="9">
    <mergeCell ref="B7:C9"/>
    <mergeCell ref="D7:E9"/>
    <mergeCell ref="F7:G9"/>
    <mergeCell ref="B35:G37"/>
    <mergeCell ref="B2:G2"/>
    <mergeCell ref="B3:G3"/>
    <mergeCell ref="B6:C6"/>
    <mergeCell ref="D6:E6"/>
    <mergeCell ref="F6:G6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E2A83B"/>
  </sheetPr>
  <dimension ref="A1:J20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26" customWidth="1"/>
    <col min="2" max="2" width="16" customWidth="1"/>
    <col min="3" max="3" width="14" customWidth="1"/>
    <col min="4" max="4" width="26" customWidth="1"/>
    <col min="5" max="7" width="12" customWidth="1"/>
    <col min="8" max="8" width="10" customWidth="1"/>
    <col min="9" max="9" width="22" customWidth="1"/>
    <col min="10" max="10" width="46" customWidth="1"/>
  </cols>
  <sheetData>
    <row r="1" spans="1:10" ht="25.5" x14ac:dyDescent="0.25">
      <c r="A1" s="15" t="s">
        <v>19</v>
      </c>
      <c r="B1" s="15" t="s">
        <v>20</v>
      </c>
      <c r="C1" s="15" t="s">
        <v>21</v>
      </c>
      <c r="D1" s="15" t="s">
        <v>22</v>
      </c>
      <c r="E1" s="15" t="s">
        <v>23</v>
      </c>
      <c r="F1" s="15" t="s">
        <v>24</v>
      </c>
      <c r="G1" s="15" t="s">
        <v>25</v>
      </c>
      <c r="H1" s="15" t="s">
        <v>9</v>
      </c>
      <c r="I1" s="15" t="s">
        <v>26</v>
      </c>
      <c r="J1" s="15" t="s">
        <v>27</v>
      </c>
    </row>
    <row r="2" spans="1:10" ht="45.75" customHeight="1" x14ac:dyDescent="0.25">
      <c r="A2" s="16" t="s">
        <v>28</v>
      </c>
      <c r="B2" s="16" t="s">
        <v>29</v>
      </c>
      <c r="C2" s="16" t="s">
        <v>10</v>
      </c>
      <c r="D2" s="16" t="s">
        <v>30</v>
      </c>
      <c r="E2" s="16" t="s">
        <v>14</v>
      </c>
      <c r="F2" s="17">
        <v>0</v>
      </c>
      <c r="G2" s="16" t="s">
        <v>13</v>
      </c>
      <c r="H2" s="18" t="s">
        <v>13</v>
      </c>
      <c r="I2" s="16" t="s">
        <v>31</v>
      </c>
      <c r="J2" s="16" t="s">
        <v>32</v>
      </c>
    </row>
    <row r="3" spans="1:10" ht="45.75" customHeight="1" x14ac:dyDescent="0.25">
      <c r="A3" s="19" t="s">
        <v>33</v>
      </c>
      <c r="B3" s="19" t="s">
        <v>34</v>
      </c>
      <c r="C3" s="19" t="s">
        <v>10</v>
      </c>
      <c r="D3" s="19" t="s">
        <v>35</v>
      </c>
      <c r="E3" s="19" t="s">
        <v>14</v>
      </c>
      <c r="F3" s="17">
        <v>0</v>
      </c>
      <c r="G3" s="19" t="s">
        <v>13</v>
      </c>
      <c r="H3" s="20" t="s">
        <v>13</v>
      </c>
      <c r="I3" s="19" t="s">
        <v>36</v>
      </c>
      <c r="J3" s="19" t="s">
        <v>37</v>
      </c>
    </row>
    <row r="4" spans="1:10" ht="45.75" customHeight="1" x14ac:dyDescent="0.25">
      <c r="A4" s="16" t="s">
        <v>38</v>
      </c>
      <c r="B4" s="16" t="s">
        <v>39</v>
      </c>
      <c r="C4" s="16" t="s">
        <v>10</v>
      </c>
      <c r="D4" s="16" t="s">
        <v>30</v>
      </c>
      <c r="E4" s="16" t="s">
        <v>14</v>
      </c>
      <c r="F4" s="17">
        <v>0</v>
      </c>
      <c r="G4" s="16" t="s">
        <v>13</v>
      </c>
      <c r="H4" s="21" t="s">
        <v>11</v>
      </c>
      <c r="I4" s="16" t="s">
        <v>40</v>
      </c>
      <c r="J4" s="16" t="s">
        <v>41</v>
      </c>
    </row>
    <row r="5" spans="1:10" ht="45.75" customHeight="1" x14ac:dyDescent="0.25">
      <c r="A5" s="19" t="s">
        <v>42</v>
      </c>
      <c r="B5" s="19" t="s">
        <v>39</v>
      </c>
      <c r="C5" s="19" t="s">
        <v>10</v>
      </c>
      <c r="D5" s="19" t="s">
        <v>35</v>
      </c>
      <c r="E5" s="19" t="s">
        <v>12</v>
      </c>
      <c r="F5" s="17">
        <v>30</v>
      </c>
      <c r="G5" s="19" t="s">
        <v>13</v>
      </c>
      <c r="H5" s="20" t="s">
        <v>13</v>
      </c>
      <c r="I5" s="19" t="s">
        <v>43</v>
      </c>
      <c r="J5" s="19" t="s">
        <v>44</v>
      </c>
    </row>
    <row r="6" spans="1:10" ht="45.75" customHeight="1" x14ac:dyDescent="0.25">
      <c r="A6" s="16" t="s">
        <v>45</v>
      </c>
      <c r="B6" s="16" t="s">
        <v>29</v>
      </c>
      <c r="C6" s="16" t="s">
        <v>12</v>
      </c>
      <c r="D6" s="16" t="s">
        <v>46</v>
      </c>
      <c r="E6" s="16" t="s">
        <v>12</v>
      </c>
      <c r="F6" s="17">
        <v>40</v>
      </c>
      <c r="G6" s="16" t="s">
        <v>15</v>
      </c>
      <c r="H6" s="22" t="s">
        <v>15</v>
      </c>
      <c r="I6" s="16" t="s">
        <v>47</v>
      </c>
      <c r="J6" s="16" t="s">
        <v>48</v>
      </c>
    </row>
    <row r="7" spans="1:10" ht="45.75" customHeight="1" x14ac:dyDescent="0.25">
      <c r="A7" s="19" t="s">
        <v>49</v>
      </c>
      <c r="B7" s="19" t="s">
        <v>29</v>
      </c>
      <c r="C7" s="19" t="s">
        <v>10</v>
      </c>
      <c r="D7" s="19" t="s">
        <v>35</v>
      </c>
      <c r="E7" s="19" t="s">
        <v>14</v>
      </c>
      <c r="F7" s="17">
        <v>0</v>
      </c>
      <c r="G7" s="19" t="s">
        <v>15</v>
      </c>
      <c r="H7" s="23" t="s">
        <v>15</v>
      </c>
      <c r="I7" s="19" t="s">
        <v>50</v>
      </c>
      <c r="J7" s="19" t="s">
        <v>51</v>
      </c>
    </row>
    <row r="8" spans="1:10" ht="45.75" customHeight="1" x14ac:dyDescent="0.25">
      <c r="A8" s="16" t="s">
        <v>52</v>
      </c>
      <c r="B8" s="16" t="s">
        <v>29</v>
      </c>
      <c r="C8" s="16" t="s">
        <v>10</v>
      </c>
      <c r="D8" s="16" t="s">
        <v>53</v>
      </c>
      <c r="E8" s="16" t="s">
        <v>14</v>
      </c>
      <c r="F8" s="17">
        <v>0</v>
      </c>
      <c r="G8" s="16" t="s">
        <v>15</v>
      </c>
      <c r="H8" s="22" t="s">
        <v>15</v>
      </c>
      <c r="I8" s="16" t="s">
        <v>54</v>
      </c>
      <c r="J8" s="16" t="s">
        <v>55</v>
      </c>
    </row>
    <row r="9" spans="1:10" ht="45.75" customHeight="1" x14ac:dyDescent="0.25">
      <c r="A9" s="19" t="s">
        <v>56</v>
      </c>
      <c r="B9" s="19" t="s">
        <v>29</v>
      </c>
      <c r="C9" s="19" t="s">
        <v>14</v>
      </c>
      <c r="D9" s="19" t="s">
        <v>57</v>
      </c>
      <c r="E9" s="19" t="s">
        <v>14</v>
      </c>
      <c r="F9" s="17">
        <v>0</v>
      </c>
      <c r="G9" s="19" t="s">
        <v>15</v>
      </c>
      <c r="H9" s="24" t="s">
        <v>16</v>
      </c>
      <c r="I9" s="19" t="s">
        <v>54</v>
      </c>
      <c r="J9" s="19" t="s">
        <v>58</v>
      </c>
    </row>
    <row r="10" spans="1:10" ht="45.75" customHeight="1" x14ac:dyDescent="0.25">
      <c r="A10" s="16" t="s">
        <v>59</v>
      </c>
      <c r="B10" s="16" t="s">
        <v>29</v>
      </c>
      <c r="C10" s="16" t="s">
        <v>10</v>
      </c>
      <c r="D10" s="16" t="s">
        <v>60</v>
      </c>
      <c r="E10" s="16" t="s">
        <v>14</v>
      </c>
      <c r="F10" s="17">
        <v>0</v>
      </c>
      <c r="G10" s="16" t="s">
        <v>13</v>
      </c>
      <c r="H10" s="18" t="s">
        <v>13</v>
      </c>
      <c r="I10" s="16" t="s">
        <v>50</v>
      </c>
      <c r="J10" s="16" t="s">
        <v>61</v>
      </c>
    </row>
    <row r="11" spans="1:10" ht="45.75" customHeight="1" x14ac:dyDescent="0.25">
      <c r="A11" s="19" t="s">
        <v>62</v>
      </c>
      <c r="B11" s="19" t="s">
        <v>34</v>
      </c>
      <c r="C11" s="19" t="s">
        <v>14</v>
      </c>
      <c r="D11" s="19" t="s">
        <v>57</v>
      </c>
      <c r="E11" s="19" t="s">
        <v>14</v>
      </c>
      <c r="F11" s="17">
        <v>0</v>
      </c>
      <c r="G11" s="19" t="s">
        <v>13</v>
      </c>
      <c r="H11" s="20" t="s">
        <v>13</v>
      </c>
      <c r="I11" s="19" t="s">
        <v>63</v>
      </c>
      <c r="J11" s="19" t="s">
        <v>64</v>
      </c>
    </row>
    <row r="12" spans="1:10" ht="45.75" customHeight="1" x14ac:dyDescent="0.25">
      <c r="A12" s="16" t="s">
        <v>65</v>
      </c>
      <c r="B12" s="16" t="s">
        <v>34</v>
      </c>
      <c r="C12" s="16" t="s">
        <v>14</v>
      </c>
      <c r="D12" s="16" t="s">
        <v>57</v>
      </c>
      <c r="E12" s="16" t="s">
        <v>14</v>
      </c>
      <c r="F12" s="17">
        <v>0</v>
      </c>
      <c r="G12" s="16" t="s">
        <v>13</v>
      </c>
      <c r="H12" s="18" t="s">
        <v>13</v>
      </c>
      <c r="I12" s="16" t="s">
        <v>63</v>
      </c>
      <c r="J12" s="16" t="s">
        <v>66</v>
      </c>
    </row>
    <row r="13" spans="1:10" ht="45.75" customHeight="1" x14ac:dyDescent="0.25">
      <c r="A13" s="19" t="s">
        <v>67</v>
      </c>
      <c r="B13" s="19" t="s">
        <v>68</v>
      </c>
      <c r="C13" s="19" t="s">
        <v>12</v>
      </c>
      <c r="D13" s="19" t="s">
        <v>69</v>
      </c>
      <c r="E13" s="19" t="s">
        <v>14</v>
      </c>
      <c r="F13" s="17">
        <v>0</v>
      </c>
      <c r="G13" s="19" t="s">
        <v>15</v>
      </c>
      <c r="H13" s="23" t="s">
        <v>15</v>
      </c>
      <c r="I13" s="19" t="s">
        <v>70</v>
      </c>
      <c r="J13" s="19" t="s">
        <v>71</v>
      </c>
    </row>
    <row r="14" spans="1:10" ht="45.75" customHeight="1" x14ac:dyDescent="0.25">
      <c r="A14" s="16" t="s">
        <v>72</v>
      </c>
      <c r="B14" s="16" t="s">
        <v>73</v>
      </c>
      <c r="C14" s="16" t="s">
        <v>10</v>
      </c>
      <c r="D14" s="16" t="s">
        <v>74</v>
      </c>
      <c r="E14" s="16" t="s">
        <v>14</v>
      </c>
      <c r="F14" s="17">
        <v>0</v>
      </c>
      <c r="G14" s="16" t="s">
        <v>16</v>
      </c>
      <c r="H14" s="25" t="s">
        <v>16</v>
      </c>
      <c r="I14" s="16" t="s">
        <v>75</v>
      </c>
      <c r="J14" s="16" t="s">
        <v>76</v>
      </c>
    </row>
    <row r="15" spans="1:10" ht="45.75" customHeight="1" x14ac:dyDescent="0.25">
      <c r="A15" s="19" t="s">
        <v>77</v>
      </c>
      <c r="B15" s="19" t="s">
        <v>78</v>
      </c>
      <c r="C15" s="19" t="s">
        <v>12</v>
      </c>
      <c r="D15" s="19" t="s">
        <v>79</v>
      </c>
      <c r="E15" s="19" t="s">
        <v>14</v>
      </c>
      <c r="F15" s="17">
        <v>0</v>
      </c>
      <c r="G15" s="19" t="s">
        <v>15</v>
      </c>
      <c r="H15" s="20" t="s">
        <v>13</v>
      </c>
      <c r="I15" s="19" t="s">
        <v>80</v>
      </c>
      <c r="J15" s="19" t="s">
        <v>81</v>
      </c>
    </row>
    <row r="16" spans="1:10" ht="45.75" customHeight="1" x14ac:dyDescent="0.25">
      <c r="A16" s="16" t="s">
        <v>82</v>
      </c>
      <c r="B16" s="16" t="s">
        <v>83</v>
      </c>
      <c r="C16" s="16" t="s">
        <v>12</v>
      </c>
      <c r="D16" s="16" t="s">
        <v>84</v>
      </c>
      <c r="E16" s="16" t="s">
        <v>14</v>
      </c>
      <c r="F16" s="17">
        <v>0</v>
      </c>
      <c r="G16" s="16" t="s">
        <v>13</v>
      </c>
      <c r="H16" s="18" t="s">
        <v>13</v>
      </c>
      <c r="I16" s="16" t="s">
        <v>85</v>
      </c>
      <c r="J16" s="16" t="s">
        <v>86</v>
      </c>
    </row>
    <row r="17" spans="1:10" ht="45.75" customHeight="1" x14ac:dyDescent="0.25">
      <c r="A17" s="19" t="s">
        <v>87</v>
      </c>
      <c r="B17" s="19" t="s">
        <v>88</v>
      </c>
      <c r="C17" s="19" t="s">
        <v>89</v>
      </c>
      <c r="D17" s="19" t="s">
        <v>57</v>
      </c>
      <c r="E17" s="19" t="s">
        <v>14</v>
      </c>
      <c r="F17" s="17">
        <v>0</v>
      </c>
      <c r="G17" s="19" t="s">
        <v>13</v>
      </c>
      <c r="H17" s="20" t="s">
        <v>13</v>
      </c>
      <c r="I17" s="19" t="s">
        <v>90</v>
      </c>
      <c r="J17" s="19" t="s">
        <v>91</v>
      </c>
    </row>
    <row r="18" spans="1:10" ht="45.75" customHeight="1" x14ac:dyDescent="0.25">
      <c r="A18" s="16" t="s">
        <v>92</v>
      </c>
      <c r="B18" s="16" t="s">
        <v>88</v>
      </c>
      <c r="C18" s="16" t="s">
        <v>89</v>
      </c>
      <c r="D18" s="16" t="s">
        <v>57</v>
      </c>
      <c r="E18" s="16" t="s">
        <v>14</v>
      </c>
      <c r="F18" s="17">
        <v>0</v>
      </c>
      <c r="G18" s="16" t="s">
        <v>13</v>
      </c>
      <c r="H18" s="18" t="s">
        <v>13</v>
      </c>
      <c r="I18" s="16" t="s">
        <v>90</v>
      </c>
      <c r="J18" s="16" t="s">
        <v>93</v>
      </c>
    </row>
    <row r="19" spans="1:10" ht="45.75" customHeight="1" x14ac:dyDescent="0.25">
      <c r="A19" s="19" t="s">
        <v>94</v>
      </c>
      <c r="B19" s="19" t="s">
        <v>95</v>
      </c>
      <c r="C19" s="19" t="s">
        <v>96</v>
      </c>
      <c r="D19" s="19" t="s">
        <v>35</v>
      </c>
      <c r="E19" s="19" t="s">
        <v>14</v>
      </c>
      <c r="F19" s="17">
        <v>0</v>
      </c>
      <c r="G19" s="19" t="s">
        <v>13</v>
      </c>
      <c r="H19" s="20" t="s">
        <v>13</v>
      </c>
      <c r="I19" s="19" t="s">
        <v>40</v>
      </c>
      <c r="J19" s="19" t="s">
        <v>97</v>
      </c>
    </row>
    <row r="20" spans="1:10" ht="45.75" customHeight="1" x14ac:dyDescent="0.25">
      <c r="A20" s="16" t="s">
        <v>98</v>
      </c>
      <c r="B20" s="16" t="s">
        <v>95</v>
      </c>
      <c r="C20" s="16" t="s">
        <v>99</v>
      </c>
      <c r="D20" s="16" t="s">
        <v>57</v>
      </c>
      <c r="E20" s="16" t="s">
        <v>14</v>
      </c>
      <c r="F20" s="17">
        <v>0</v>
      </c>
      <c r="G20" s="16" t="s">
        <v>13</v>
      </c>
      <c r="H20" s="18" t="s">
        <v>13</v>
      </c>
      <c r="I20" s="16" t="s">
        <v>40</v>
      </c>
      <c r="J20" s="16" t="s">
        <v>100</v>
      </c>
    </row>
  </sheetData>
  <autoFilter ref="A1:J1" xr:uid="{00000000-0009-0000-0000-000001000000}"/>
  <conditionalFormatting sqref="C2:C20">
    <cfRule type="cellIs" dxfId="5" priority="2" operator="equal">
      <formula>"Yes"</formula>
    </cfRule>
    <cfRule type="cellIs" dxfId="4" priority="3" operator="equal">
      <formula>"Partial"</formula>
    </cfRule>
    <cfRule type="cellIs" dxfId="3" priority="4" operator="equal">
      <formula>"No"</formula>
    </cfRule>
  </conditionalFormatting>
  <conditionalFormatting sqref="E2:E20">
    <cfRule type="cellIs" dxfId="2" priority="5" operator="equal">
      <formula>"Yes"</formula>
    </cfRule>
    <cfRule type="cellIs" dxfId="1" priority="6" operator="equal">
      <formula>"Partial"</formula>
    </cfRule>
    <cfRule type="cellIs" dxfId="0" priority="7" operator="equal">
      <formula>"No"</formula>
    </cfRule>
  </conditionalFormatting>
  <conditionalFormatting sqref="F2:F20">
    <cfRule type="dataBar" priority="8">
      <dataBar>
        <cfvo type="num" val="0"/>
        <cfvo type="num" val="100"/>
        <color rgb="FF6B8F71"/>
      </dataBar>
      <extLst>
        <ext xmlns:x14="http://schemas.microsoft.com/office/spreadsheetml/2009/9/main" uri="{B025F937-C7B1-47D3-B67F-A62EFF666E3E}">
          <x14:id>{BFAD70AE-2ED4-49E6-A346-275BF2305292}</x14:id>
        </ext>
      </extLst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FAD70AE-2ED4-49E6-A346-275BF2305292}">
            <x14:dataBar axisPosition="none">
              <x14:cfvo type="num">
                <xm:f>0</xm:f>
              </x14:cfvo>
              <x14:cfvo type="num">
                <xm:f>100</xm:f>
              </x14:cfvo>
              <x14:negativeFillColor rgb="FF6B8F71"/>
            </x14:dataBar>
          </x14:cfRule>
          <xm:sqref>F2:F20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6B8F71"/>
  </sheetPr>
  <dimension ref="B2:B15"/>
  <sheetViews>
    <sheetView showGridLines="0" tabSelected="1" topLeftCell="AQ1" zoomScaleNormal="100" workbookViewId="0">
      <selection activeCell="B16" sqref="B16"/>
    </sheetView>
  </sheetViews>
  <sheetFormatPr defaultColWidth="8.7109375" defaultRowHeight="15" x14ac:dyDescent="0.25"/>
  <cols>
    <col min="1" max="1" width="3" customWidth="1"/>
    <col min="2" max="2" width="100" customWidth="1"/>
  </cols>
  <sheetData>
    <row r="2" spans="2:2" ht="20.25" x14ac:dyDescent="0.3">
      <c r="B2" s="26" t="s">
        <v>0</v>
      </c>
    </row>
    <row r="4" spans="2:2" x14ac:dyDescent="0.25">
      <c r="B4" s="27" t="s">
        <v>101</v>
      </c>
    </row>
    <row r="5" spans="2:2" ht="25.5" x14ac:dyDescent="0.25">
      <c r="B5" s="28" t="s">
        <v>102</v>
      </c>
    </row>
    <row r="6" spans="2:2" ht="25.5" x14ac:dyDescent="0.25">
      <c r="B6" s="28" t="s">
        <v>103</v>
      </c>
    </row>
    <row r="8" spans="2:2" x14ac:dyDescent="0.25">
      <c r="B8" s="27" t="s">
        <v>104</v>
      </c>
    </row>
    <row r="9" spans="2:2" ht="25.5" x14ac:dyDescent="0.25">
      <c r="B9" s="28" t="s">
        <v>105</v>
      </c>
    </row>
    <row r="11" spans="2:2" x14ac:dyDescent="0.25">
      <c r="B11" s="27" t="s">
        <v>106</v>
      </c>
    </row>
    <row r="12" spans="2:2" ht="25.5" x14ac:dyDescent="0.25">
      <c r="B12" s="28" t="s">
        <v>107</v>
      </c>
    </row>
    <row r="14" spans="2:2" x14ac:dyDescent="0.25">
      <c r="B14" s="27" t="s">
        <v>108</v>
      </c>
    </row>
    <row r="15" spans="2:2" ht="38.25" x14ac:dyDescent="0.25">
      <c r="B15" s="28" t="s">
        <v>109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Content Gap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shivani bajaj</cp:lastModifiedBy>
  <cp:revision>1</cp:revision>
  <dcterms:created xsi:type="dcterms:W3CDTF">2026-09-25T08:01:01Z</dcterms:created>
  <dcterms:modified xsi:type="dcterms:W3CDTF">2026-09-25T08:08:38Z</dcterms:modified>
  <dc:language>en-US</dc:language>
</cp:coreProperties>
</file>